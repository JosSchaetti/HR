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mycode\Python\HR\"/>
    </mc:Choice>
  </mc:AlternateContent>
  <xr:revisionPtr revIDLastSave="0" documentId="8_{8FB5F66D-7B68-4317-9B2B-70C643E0F289}" xr6:coauthVersionLast="47" xr6:coauthVersionMax="47" xr10:uidLastSave="{00000000-0000-0000-0000-000000000000}"/>
  <bookViews>
    <workbookView xWindow="-31740" yWindow="1880" windowWidth="25800" windowHeight="9960" xr2:uid="{00000000-000D-0000-FFFF-FFFF00000000}"/>
  </bookViews>
  <sheets>
    <sheet name="Master Data" sheetId="1" r:id="rId1"/>
    <sheet name="Salary History" sheetId="2" r:id="rId2"/>
    <sheet name="Monthly Budget Control" sheetId="4" r:id="rId3"/>
    <sheet name="Monthly Release" sheetId="6" r:id="rId4"/>
    <sheet name="Cost Center Structure" sheetId="8" r:id="rId5"/>
  </sheets>
  <definedNames>
    <definedName name="_xlnm._FilterDatabase" localSheetId="4" hidden="1">'Cost Center Structure'!$A$1:$G$137</definedName>
    <definedName name="_xlnm._FilterDatabase" localSheetId="0" hidden="1">'Master Data'!$A$1:$H$155</definedName>
    <definedName name="_xlnm._FilterDatabase" localSheetId="2" hidden="1">'Monthly Budget Control'!$A$1:$H$1</definedName>
    <definedName name="_xlnm._FilterDatabase" localSheetId="3" hidden="1">'Monthly Release'!$A$1:$J$1</definedName>
    <definedName name="_xlnm._FilterDatabase" localSheetId="1" hidden="1">'Salary History'!$A$1:$T$154</definedName>
  </definedNames>
  <calcPr calcId="191029"/>
  <pivotCaches>
    <pivotCache cacheId="0" r:id="rId6"/>
    <pivotCache cacheId="1" r:id="rId7"/>
    <pivotCache cacheId="2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D74" i="2" l="1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2" i="2"/>
  <c r="D148" i="2"/>
  <c r="D149" i="2"/>
  <c r="D150" i="2"/>
  <c r="D151" i="2"/>
  <c r="D152" i="2"/>
  <c r="D153" i="2"/>
  <c r="D154" i="2"/>
  <c r="G2" i="6"/>
  <c r="F2" i="6"/>
  <c r="J2" i="2"/>
  <c r="L3" i="2" l="1"/>
  <c r="M3" i="2" s="1"/>
  <c r="J3" i="2"/>
  <c r="N3" i="2" s="1"/>
  <c r="O3" i="2" s="1"/>
  <c r="N2" i="2"/>
  <c r="L17" i="2"/>
  <c r="M17" i="2" s="1"/>
  <c r="J51" i="2"/>
  <c r="N51" i="2" s="1"/>
  <c r="O51" i="2" s="1"/>
  <c r="J82" i="2"/>
  <c r="N82" i="2" s="1"/>
  <c r="O82" i="2" s="1"/>
  <c r="J119" i="2"/>
  <c r="N119" i="2" s="1"/>
  <c r="O119" i="2" s="1"/>
  <c r="J92" i="2"/>
  <c r="N92" i="2" s="1"/>
  <c r="O92" i="2" s="1"/>
  <c r="J121" i="2"/>
  <c r="N121" i="2" s="1"/>
  <c r="O121" i="2" s="1"/>
  <c r="J140" i="2"/>
  <c r="N140" i="2" s="1"/>
  <c r="O140" i="2" s="1"/>
  <c r="J95" i="2"/>
  <c r="J6" i="2"/>
  <c r="N6" i="2" s="1"/>
  <c r="J36" i="2"/>
  <c r="N36" i="2" s="1"/>
  <c r="O36" i="2" s="1"/>
  <c r="J68" i="2"/>
  <c r="N68" i="2" s="1"/>
  <c r="O68" i="2" s="1"/>
  <c r="J112" i="2"/>
  <c r="J64" i="2"/>
  <c r="N64" i="2" s="1"/>
  <c r="O64" i="2" s="1"/>
  <c r="J87" i="2"/>
  <c r="N87" i="2" s="1"/>
  <c r="O87" i="2" s="1"/>
  <c r="J89" i="2"/>
  <c r="N89" i="2" s="1"/>
  <c r="O89" i="2" s="1"/>
  <c r="J107" i="2"/>
  <c r="J141" i="2"/>
  <c r="N141" i="2" s="1"/>
  <c r="J128" i="2"/>
  <c r="N128" i="2" s="1"/>
  <c r="O128" i="2" s="1"/>
  <c r="J122" i="2"/>
  <c r="N122" i="2" s="1"/>
  <c r="O122" i="2" s="1"/>
  <c r="J13" i="2"/>
  <c r="N13" i="2" s="1"/>
  <c r="O13" i="2" s="1"/>
  <c r="J63" i="2"/>
  <c r="N63" i="2" s="1"/>
  <c r="J24" i="2"/>
  <c r="N24" i="2" s="1"/>
  <c r="O24" i="2" s="1"/>
  <c r="J37" i="2"/>
  <c r="N37" i="2" s="1"/>
  <c r="O37" i="2" s="1"/>
  <c r="J138" i="2"/>
  <c r="J118" i="2"/>
  <c r="N118" i="2" s="1"/>
  <c r="O118" i="2" s="1"/>
  <c r="J52" i="2"/>
  <c r="N52" i="2" s="1"/>
  <c r="O52" i="2" s="1"/>
  <c r="J78" i="2"/>
  <c r="N78" i="2" s="1"/>
  <c r="O78" i="2" s="1"/>
  <c r="J139" i="2"/>
  <c r="J110" i="2"/>
  <c r="N110" i="2" s="1"/>
  <c r="J15" i="2"/>
  <c r="N15" i="2" s="1"/>
  <c r="O15" i="2" s="1"/>
  <c r="J133" i="2"/>
  <c r="N133" i="2" s="1"/>
  <c r="O133" i="2" s="1"/>
  <c r="J100" i="2"/>
  <c r="J23" i="2"/>
  <c r="N23" i="2" s="1"/>
  <c r="J76" i="2"/>
  <c r="N76" i="2" s="1"/>
  <c r="O76" i="2" s="1"/>
  <c r="J90" i="2"/>
  <c r="N90" i="2" s="1"/>
  <c r="O90" i="2" s="1"/>
  <c r="J101" i="2"/>
  <c r="J69" i="2"/>
  <c r="N69" i="2" s="1"/>
  <c r="J153" i="2"/>
  <c r="N153" i="2" s="1"/>
  <c r="O153" i="2" s="1"/>
  <c r="J143" i="2"/>
  <c r="N143" i="2" s="1"/>
  <c r="O143" i="2" s="1"/>
  <c r="J5" i="2"/>
  <c r="N5" i="2" s="1"/>
  <c r="O5" i="2" s="1"/>
  <c r="J116" i="2"/>
  <c r="N116" i="2" s="1"/>
  <c r="J67" i="2"/>
  <c r="N67" i="2" s="1"/>
  <c r="O67" i="2" s="1"/>
  <c r="J81" i="2"/>
  <c r="N81" i="2" s="1"/>
  <c r="O81" i="2" s="1"/>
  <c r="J103" i="2"/>
  <c r="J28" i="2"/>
  <c r="N28" i="2" s="1"/>
  <c r="O28" i="2" s="1"/>
  <c r="J148" i="2"/>
  <c r="N148" i="2" s="1"/>
  <c r="O148" i="2" s="1"/>
  <c r="J14" i="2"/>
  <c r="N14" i="2" s="1"/>
  <c r="O14" i="2" s="1"/>
  <c r="J99" i="2"/>
  <c r="J98" i="2"/>
  <c r="N98" i="2" s="1"/>
  <c r="J77" i="2"/>
  <c r="N77" i="2" s="1"/>
  <c r="O77" i="2" s="1"/>
  <c r="J21" i="2"/>
  <c r="N21" i="2" s="1"/>
  <c r="O21" i="2" s="1"/>
  <c r="J30" i="2"/>
  <c r="J26" i="2"/>
  <c r="N26" i="2" s="1"/>
  <c r="O26" i="2" s="1"/>
  <c r="J109" i="2"/>
  <c r="N109" i="2" s="1"/>
  <c r="O109" i="2" s="1"/>
  <c r="J91" i="2"/>
  <c r="N91" i="2" s="1"/>
  <c r="O91" i="2" s="1"/>
  <c r="J124" i="2"/>
  <c r="N124" i="2" s="1"/>
  <c r="O124" i="2" s="1"/>
  <c r="J43" i="2"/>
  <c r="N43" i="2" s="1"/>
  <c r="J130" i="2"/>
  <c r="N130" i="2" s="1"/>
  <c r="O130" i="2" s="1"/>
  <c r="J62" i="2"/>
  <c r="N62" i="2" s="1"/>
  <c r="O62" i="2" s="1"/>
  <c r="J39" i="2"/>
  <c r="J29" i="2"/>
  <c r="N29" i="2" s="1"/>
  <c r="J120" i="2"/>
  <c r="N120" i="2" s="1"/>
  <c r="O120" i="2" s="1"/>
  <c r="J134" i="2"/>
  <c r="N134" i="2" s="1"/>
  <c r="O134" i="2" s="1"/>
  <c r="J136" i="2"/>
  <c r="J129" i="2"/>
  <c r="N129" i="2" s="1"/>
  <c r="J60" i="2"/>
  <c r="N60" i="2" s="1"/>
  <c r="O60" i="2" s="1"/>
  <c r="J75" i="2"/>
  <c r="N75" i="2" s="1"/>
  <c r="O75" i="2" s="1"/>
  <c r="J4" i="2"/>
  <c r="N4" i="2" s="1"/>
  <c r="J66" i="2"/>
  <c r="N66" i="2" s="1"/>
  <c r="O66" i="2" s="1"/>
  <c r="J11" i="2"/>
  <c r="N11" i="2" s="1"/>
  <c r="O11" i="2" s="1"/>
  <c r="J65" i="2"/>
  <c r="N65" i="2" s="1"/>
  <c r="O65" i="2" s="1"/>
  <c r="J144" i="2"/>
  <c r="J7" i="2"/>
  <c r="N7" i="2" s="1"/>
  <c r="J9" i="2"/>
  <c r="N9" i="2" s="1"/>
  <c r="O9" i="2" s="1"/>
  <c r="J85" i="2"/>
  <c r="N85" i="2" s="1"/>
  <c r="O85" i="2" s="1"/>
  <c r="J16" i="2"/>
  <c r="N16" i="2" s="1"/>
  <c r="O16" i="2" s="1"/>
  <c r="J27" i="2"/>
  <c r="N27" i="2" s="1"/>
  <c r="J40" i="2"/>
  <c r="N40" i="2" s="1"/>
  <c r="O40" i="2" s="1"/>
  <c r="J59" i="2"/>
  <c r="N59" i="2" s="1"/>
  <c r="O59" i="2" s="1"/>
  <c r="J84" i="2"/>
  <c r="J73" i="2"/>
  <c r="N73" i="2" s="1"/>
  <c r="J45" i="2"/>
  <c r="N45" i="2" s="1"/>
  <c r="O45" i="2" s="1"/>
  <c r="J106" i="2"/>
  <c r="N106" i="2" s="1"/>
  <c r="O106" i="2" s="1"/>
  <c r="J146" i="2"/>
  <c r="J96" i="2"/>
  <c r="N96" i="2" s="1"/>
  <c r="J41" i="2"/>
  <c r="N41" i="2" s="1"/>
  <c r="O41" i="2" s="1"/>
  <c r="J131" i="2"/>
  <c r="N131" i="2" s="1"/>
  <c r="O131" i="2" s="1"/>
  <c r="J132" i="2"/>
  <c r="N132" i="2" s="1"/>
  <c r="J152" i="2"/>
  <c r="N152" i="2" s="1"/>
  <c r="O152" i="2" s="1"/>
  <c r="J33" i="2"/>
  <c r="N33" i="2" s="1"/>
  <c r="O33" i="2" s="1"/>
  <c r="J18" i="2"/>
  <c r="J83" i="2"/>
  <c r="N83" i="2" s="1"/>
  <c r="J123" i="2"/>
  <c r="N123" i="2" s="1"/>
  <c r="O123" i="2" s="1"/>
  <c r="J12" i="2"/>
  <c r="N12" i="2" s="1"/>
  <c r="O12" i="2" s="1"/>
  <c r="J47" i="2"/>
  <c r="N47" i="2" s="1"/>
  <c r="O47" i="2" s="1"/>
  <c r="J137" i="2"/>
  <c r="N137" i="2" s="1"/>
  <c r="J48" i="2"/>
  <c r="N48" i="2" s="1"/>
  <c r="O48" i="2" s="1"/>
  <c r="J150" i="2"/>
  <c r="N150" i="2" s="1"/>
  <c r="O150" i="2" s="1"/>
  <c r="J42" i="2"/>
  <c r="J10" i="2"/>
  <c r="N10" i="2" s="1"/>
  <c r="J126" i="2"/>
  <c r="N126" i="2" s="1"/>
  <c r="O126" i="2" s="1"/>
  <c r="J93" i="2"/>
  <c r="N93" i="2" s="1"/>
  <c r="O93" i="2" s="1"/>
  <c r="J44" i="2"/>
  <c r="J32" i="2"/>
  <c r="N32" i="2" s="1"/>
  <c r="J35" i="2"/>
  <c r="N35" i="2" s="1"/>
  <c r="O35" i="2" s="1"/>
  <c r="J88" i="2"/>
  <c r="N88" i="2" s="1"/>
  <c r="O88" i="2" s="1"/>
  <c r="J151" i="2"/>
  <c r="J115" i="2"/>
  <c r="N115" i="2" s="1"/>
  <c r="J94" i="2"/>
  <c r="N94" i="2" s="1"/>
  <c r="O94" i="2" s="1"/>
  <c r="J97" i="2"/>
  <c r="N97" i="2" s="1"/>
  <c r="O97" i="2" s="1"/>
  <c r="J86" i="2"/>
  <c r="N86" i="2" s="1"/>
  <c r="O86" i="2" s="1"/>
  <c r="J74" i="2"/>
  <c r="N74" i="2" s="1"/>
  <c r="J19" i="2"/>
  <c r="N19" i="2" s="1"/>
  <c r="O19" i="2" s="1"/>
  <c r="J53" i="2"/>
  <c r="N53" i="2" s="1"/>
  <c r="O53" i="2" s="1"/>
  <c r="J105" i="2"/>
  <c r="J50" i="2"/>
  <c r="N50" i="2" s="1"/>
  <c r="J142" i="2"/>
  <c r="N142" i="2" s="1"/>
  <c r="O142" i="2" s="1"/>
  <c r="J34" i="2"/>
  <c r="N34" i="2" s="1"/>
  <c r="O34" i="2" s="1"/>
  <c r="J147" i="2"/>
  <c r="J72" i="2"/>
  <c r="N72" i="2" s="1"/>
  <c r="J38" i="2"/>
  <c r="N38" i="2" s="1"/>
  <c r="O38" i="2" s="1"/>
  <c r="J8" i="2"/>
  <c r="N8" i="2" s="1"/>
  <c r="O8" i="2" s="1"/>
  <c r="J25" i="2"/>
  <c r="J55" i="2"/>
  <c r="N55" i="2" s="1"/>
  <c r="J149" i="2"/>
  <c r="N149" i="2" s="1"/>
  <c r="O149" i="2" s="1"/>
  <c r="J70" i="2"/>
  <c r="N70" i="2" s="1"/>
  <c r="O70" i="2" s="1"/>
  <c r="J58" i="2"/>
  <c r="N58" i="2" s="1"/>
  <c r="O58" i="2" s="1"/>
  <c r="J49" i="2"/>
  <c r="N49" i="2" s="1"/>
  <c r="O49" i="2" s="1"/>
  <c r="J154" i="2"/>
  <c r="N154" i="2" s="1"/>
  <c r="O154" i="2" s="1"/>
  <c r="J79" i="2"/>
  <c r="N79" i="2" s="1"/>
  <c r="O79" i="2" s="1"/>
  <c r="J113" i="2"/>
  <c r="N113" i="2" s="1"/>
  <c r="O113" i="2" s="1"/>
  <c r="J104" i="2"/>
  <c r="N104" i="2" s="1"/>
  <c r="J22" i="2"/>
  <c r="N22" i="2" s="1"/>
  <c r="O22" i="2" s="1"/>
  <c r="J31" i="2"/>
  <c r="N31" i="2" s="1"/>
  <c r="O31" i="2" s="1"/>
  <c r="J145" i="2"/>
  <c r="J56" i="2"/>
  <c r="N56" i="2" s="1"/>
  <c r="O56" i="2" s="1"/>
  <c r="J71" i="2"/>
  <c r="N71" i="2" s="1"/>
  <c r="J117" i="2"/>
  <c r="J20" i="2"/>
  <c r="N20" i="2" s="1"/>
  <c r="O20" i="2" s="1"/>
  <c r="J135" i="2"/>
  <c r="N135" i="2" s="1"/>
  <c r="O135" i="2" s="1"/>
  <c r="J111" i="2"/>
  <c r="N111" i="2" s="1"/>
  <c r="O111" i="2" s="1"/>
  <c r="J80" i="2"/>
  <c r="N80" i="2" s="1"/>
  <c r="J114" i="2"/>
  <c r="N114" i="2" s="1"/>
  <c r="J125" i="2"/>
  <c r="N125" i="2" s="1"/>
  <c r="O125" i="2" s="1"/>
  <c r="J127" i="2"/>
  <c r="N127" i="2" s="1"/>
  <c r="O127" i="2" s="1"/>
  <c r="J102" i="2"/>
  <c r="N102" i="2" s="1"/>
  <c r="J57" i="2"/>
  <c r="N57" i="2" s="1"/>
  <c r="J108" i="2"/>
  <c r="N108" i="2" s="1"/>
  <c r="O108" i="2" s="1"/>
  <c r="J46" i="2"/>
  <c r="N46" i="2" s="1"/>
  <c r="J61" i="2"/>
  <c r="N61" i="2" s="1"/>
  <c r="O61" i="2" s="1"/>
  <c r="J54" i="2"/>
  <c r="N54" i="2" s="1"/>
  <c r="J17" i="2"/>
  <c r="N17" i="2" s="1"/>
  <c r="L51" i="2"/>
  <c r="M51" i="2" s="1"/>
  <c r="L82" i="2"/>
  <c r="M82" i="2" s="1"/>
  <c r="L119" i="2"/>
  <c r="M119" i="2" s="1"/>
  <c r="L92" i="2"/>
  <c r="M92" i="2" s="1"/>
  <c r="L121" i="2"/>
  <c r="M121" i="2" s="1"/>
  <c r="L140" i="2"/>
  <c r="M140" i="2" s="1"/>
  <c r="L95" i="2"/>
  <c r="M95" i="2" s="1"/>
  <c r="L6" i="2"/>
  <c r="M6" i="2" s="1"/>
  <c r="L36" i="2"/>
  <c r="M36" i="2" s="1"/>
  <c r="L68" i="2"/>
  <c r="M68" i="2" s="1"/>
  <c r="L112" i="2"/>
  <c r="M112" i="2" s="1"/>
  <c r="L64" i="2"/>
  <c r="M64" i="2" s="1"/>
  <c r="L87" i="2"/>
  <c r="M87" i="2" s="1"/>
  <c r="L89" i="2"/>
  <c r="M89" i="2" s="1"/>
  <c r="L107" i="2"/>
  <c r="M107" i="2" s="1"/>
  <c r="L141" i="2"/>
  <c r="M141" i="2" s="1"/>
  <c r="L128" i="2"/>
  <c r="M128" i="2" s="1"/>
  <c r="L122" i="2"/>
  <c r="M122" i="2" s="1"/>
  <c r="L13" i="2"/>
  <c r="M13" i="2" s="1"/>
  <c r="L63" i="2"/>
  <c r="M63" i="2" s="1"/>
  <c r="L24" i="2"/>
  <c r="M24" i="2" s="1"/>
  <c r="L37" i="2"/>
  <c r="M37" i="2" s="1"/>
  <c r="L138" i="2"/>
  <c r="M138" i="2" s="1"/>
  <c r="L118" i="2"/>
  <c r="M118" i="2" s="1"/>
  <c r="L52" i="2"/>
  <c r="M52" i="2" s="1"/>
  <c r="L78" i="2"/>
  <c r="M78" i="2" s="1"/>
  <c r="L139" i="2"/>
  <c r="M139" i="2" s="1"/>
  <c r="L110" i="2"/>
  <c r="M110" i="2" s="1"/>
  <c r="L15" i="2"/>
  <c r="M15" i="2" s="1"/>
  <c r="L133" i="2"/>
  <c r="M133" i="2" s="1"/>
  <c r="L100" i="2"/>
  <c r="M100" i="2" s="1"/>
  <c r="L23" i="2"/>
  <c r="M23" i="2" s="1"/>
  <c r="L76" i="2"/>
  <c r="M76" i="2" s="1"/>
  <c r="L90" i="2"/>
  <c r="M90" i="2" s="1"/>
  <c r="L101" i="2"/>
  <c r="M101" i="2" s="1"/>
  <c r="L69" i="2"/>
  <c r="M69" i="2" s="1"/>
  <c r="L153" i="2"/>
  <c r="M153" i="2" s="1"/>
  <c r="L143" i="2"/>
  <c r="M143" i="2" s="1"/>
  <c r="L5" i="2"/>
  <c r="M5" i="2" s="1"/>
  <c r="L116" i="2"/>
  <c r="M116" i="2" s="1"/>
  <c r="L67" i="2"/>
  <c r="M67" i="2" s="1"/>
  <c r="L81" i="2"/>
  <c r="M81" i="2" s="1"/>
  <c r="L103" i="2"/>
  <c r="M103" i="2" s="1"/>
  <c r="L28" i="2"/>
  <c r="M28" i="2" s="1"/>
  <c r="L148" i="2"/>
  <c r="M148" i="2" s="1"/>
  <c r="L14" i="2"/>
  <c r="M14" i="2" s="1"/>
  <c r="L99" i="2"/>
  <c r="M99" i="2" s="1"/>
  <c r="L98" i="2"/>
  <c r="M98" i="2" s="1"/>
  <c r="L77" i="2"/>
  <c r="M77" i="2" s="1"/>
  <c r="L21" i="2"/>
  <c r="M21" i="2" s="1"/>
  <c r="L30" i="2"/>
  <c r="M30" i="2" s="1"/>
  <c r="L26" i="2"/>
  <c r="M26" i="2" s="1"/>
  <c r="L109" i="2"/>
  <c r="M109" i="2" s="1"/>
  <c r="L91" i="2"/>
  <c r="M91" i="2" s="1"/>
  <c r="L124" i="2"/>
  <c r="M124" i="2" s="1"/>
  <c r="L43" i="2"/>
  <c r="M43" i="2" s="1"/>
  <c r="L130" i="2"/>
  <c r="M130" i="2" s="1"/>
  <c r="L62" i="2"/>
  <c r="M62" i="2" s="1"/>
  <c r="L39" i="2"/>
  <c r="M39" i="2" s="1"/>
  <c r="L29" i="2"/>
  <c r="M29" i="2" s="1"/>
  <c r="L120" i="2"/>
  <c r="M120" i="2" s="1"/>
  <c r="L134" i="2"/>
  <c r="M134" i="2" s="1"/>
  <c r="L136" i="2"/>
  <c r="M136" i="2" s="1"/>
  <c r="L129" i="2"/>
  <c r="M129" i="2" s="1"/>
  <c r="L60" i="2"/>
  <c r="M60" i="2" s="1"/>
  <c r="L75" i="2"/>
  <c r="M75" i="2" s="1"/>
  <c r="L4" i="2"/>
  <c r="M4" i="2" s="1"/>
  <c r="L66" i="2"/>
  <c r="M66" i="2" s="1"/>
  <c r="L11" i="2"/>
  <c r="M11" i="2" s="1"/>
  <c r="L65" i="2"/>
  <c r="M65" i="2" s="1"/>
  <c r="L144" i="2"/>
  <c r="M144" i="2" s="1"/>
  <c r="L7" i="2"/>
  <c r="M7" i="2" s="1"/>
  <c r="L9" i="2"/>
  <c r="M9" i="2" s="1"/>
  <c r="L85" i="2"/>
  <c r="M85" i="2" s="1"/>
  <c r="L16" i="2"/>
  <c r="M16" i="2" s="1"/>
  <c r="L27" i="2"/>
  <c r="M27" i="2" s="1"/>
  <c r="L40" i="2"/>
  <c r="M40" i="2" s="1"/>
  <c r="L59" i="2"/>
  <c r="M59" i="2" s="1"/>
  <c r="L84" i="2"/>
  <c r="M84" i="2" s="1"/>
  <c r="L73" i="2"/>
  <c r="M73" i="2" s="1"/>
  <c r="L45" i="2"/>
  <c r="M45" i="2" s="1"/>
  <c r="L106" i="2"/>
  <c r="M106" i="2" s="1"/>
  <c r="L146" i="2"/>
  <c r="M146" i="2" s="1"/>
  <c r="L96" i="2"/>
  <c r="M96" i="2" s="1"/>
  <c r="L41" i="2"/>
  <c r="M41" i="2" s="1"/>
  <c r="L131" i="2"/>
  <c r="M131" i="2" s="1"/>
  <c r="L132" i="2"/>
  <c r="M132" i="2" s="1"/>
  <c r="L152" i="2"/>
  <c r="M152" i="2" s="1"/>
  <c r="L33" i="2"/>
  <c r="M33" i="2" s="1"/>
  <c r="L18" i="2"/>
  <c r="M18" i="2" s="1"/>
  <c r="L83" i="2"/>
  <c r="M83" i="2" s="1"/>
  <c r="L123" i="2"/>
  <c r="M123" i="2" s="1"/>
  <c r="L12" i="2"/>
  <c r="M12" i="2" s="1"/>
  <c r="L47" i="2"/>
  <c r="M47" i="2" s="1"/>
  <c r="L137" i="2"/>
  <c r="M137" i="2" s="1"/>
  <c r="L48" i="2"/>
  <c r="M48" i="2" s="1"/>
  <c r="L150" i="2"/>
  <c r="M150" i="2" s="1"/>
  <c r="L42" i="2"/>
  <c r="M42" i="2" s="1"/>
  <c r="L10" i="2"/>
  <c r="M10" i="2" s="1"/>
  <c r="L126" i="2"/>
  <c r="M126" i="2" s="1"/>
  <c r="L93" i="2"/>
  <c r="M93" i="2" s="1"/>
  <c r="L44" i="2"/>
  <c r="M44" i="2" s="1"/>
  <c r="L32" i="2"/>
  <c r="M32" i="2" s="1"/>
  <c r="L35" i="2"/>
  <c r="M35" i="2" s="1"/>
  <c r="L88" i="2"/>
  <c r="M88" i="2" s="1"/>
  <c r="L151" i="2"/>
  <c r="M151" i="2" s="1"/>
  <c r="L115" i="2"/>
  <c r="M115" i="2" s="1"/>
  <c r="L94" i="2"/>
  <c r="M94" i="2" s="1"/>
  <c r="L97" i="2"/>
  <c r="M97" i="2" s="1"/>
  <c r="L86" i="2"/>
  <c r="M86" i="2" s="1"/>
  <c r="L74" i="2"/>
  <c r="M74" i="2" s="1"/>
  <c r="L19" i="2"/>
  <c r="M19" i="2" s="1"/>
  <c r="L53" i="2"/>
  <c r="M53" i="2" s="1"/>
  <c r="L105" i="2"/>
  <c r="M105" i="2" s="1"/>
  <c r="L50" i="2"/>
  <c r="M50" i="2" s="1"/>
  <c r="L142" i="2"/>
  <c r="M142" i="2" s="1"/>
  <c r="L34" i="2"/>
  <c r="M34" i="2" s="1"/>
  <c r="L147" i="2"/>
  <c r="M147" i="2" s="1"/>
  <c r="L72" i="2"/>
  <c r="M72" i="2" s="1"/>
  <c r="L38" i="2"/>
  <c r="M38" i="2" s="1"/>
  <c r="L8" i="2"/>
  <c r="M8" i="2" s="1"/>
  <c r="L25" i="2"/>
  <c r="M25" i="2" s="1"/>
  <c r="L55" i="2"/>
  <c r="M55" i="2" s="1"/>
  <c r="L149" i="2"/>
  <c r="M149" i="2" s="1"/>
  <c r="L70" i="2"/>
  <c r="M70" i="2" s="1"/>
  <c r="L58" i="2"/>
  <c r="M58" i="2" s="1"/>
  <c r="L49" i="2"/>
  <c r="M49" i="2" s="1"/>
  <c r="L154" i="2"/>
  <c r="M154" i="2" s="1"/>
  <c r="L79" i="2"/>
  <c r="M79" i="2" s="1"/>
  <c r="L113" i="2"/>
  <c r="M113" i="2" s="1"/>
  <c r="L104" i="2"/>
  <c r="M104" i="2" s="1"/>
  <c r="L22" i="2"/>
  <c r="M22" i="2" s="1"/>
  <c r="L31" i="2"/>
  <c r="M31" i="2" s="1"/>
  <c r="L145" i="2"/>
  <c r="M145" i="2" s="1"/>
  <c r="L2" i="2"/>
  <c r="M2" i="2" s="1"/>
  <c r="L56" i="2"/>
  <c r="M56" i="2" s="1"/>
  <c r="L71" i="2"/>
  <c r="M71" i="2" s="1"/>
  <c r="L117" i="2"/>
  <c r="M117" i="2" s="1"/>
  <c r="L20" i="2"/>
  <c r="M20" i="2" s="1"/>
  <c r="L135" i="2"/>
  <c r="M135" i="2" s="1"/>
  <c r="L111" i="2"/>
  <c r="M111" i="2" s="1"/>
  <c r="L80" i="2"/>
  <c r="M80" i="2" s="1"/>
  <c r="L114" i="2"/>
  <c r="M114" i="2" s="1"/>
  <c r="L125" i="2"/>
  <c r="M125" i="2" s="1"/>
  <c r="L127" i="2"/>
  <c r="M127" i="2" s="1"/>
  <c r="L102" i="2"/>
  <c r="M102" i="2" s="1"/>
  <c r="L57" i="2"/>
  <c r="M57" i="2" s="1"/>
  <c r="L108" i="2"/>
  <c r="M108" i="2" s="1"/>
  <c r="L46" i="2"/>
  <c r="M46" i="2" s="1"/>
  <c r="L61" i="2"/>
  <c r="M61" i="2" s="1"/>
  <c r="L54" i="2"/>
  <c r="M54" i="2" s="1"/>
  <c r="P71" i="2" l="1"/>
  <c r="N117" i="2"/>
  <c r="O117" i="2" s="1"/>
  <c r="O80" i="2"/>
  <c r="O102" i="2"/>
  <c r="N145" i="2"/>
  <c r="O145" i="2" s="1"/>
  <c r="N25" i="2"/>
  <c r="O25" i="2" s="1"/>
  <c r="N147" i="2"/>
  <c r="O147" i="2" s="1"/>
  <c r="N105" i="2"/>
  <c r="O105" i="2" s="1"/>
  <c r="N151" i="2"/>
  <c r="O151" i="2" s="1"/>
  <c r="N44" i="2"/>
  <c r="O44" i="2" s="1"/>
  <c r="N42" i="2"/>
  <c r="O42" i="2" s="1"/>
  <c r="N18" i="2"/>
  <c r="O18" i="2" s="1"/>
  <c r="N146" i="2"/>
  <c r="O146" i="2" s="1"/>
  <c r="N84" i="2"/>
  <c r="O84" i="2" s="1"/>
  <c r="N144" i="2"/>
  <c r="O144" i="2" s="1"/>
  <c r="O4" i="2"/>
  <c r="N136" i="2"/>
  <c r="O136" i="2" s="1"/>
  <c r="N39" i="2"/>
  <c r="O39" i="2" s="1"/>
  <c r="N30" i="2"/>
  <c r="O30" i="2" s="1"/>
  <c r="N99" i="2"/>
  <c r="O99" i="2" s="1"/>
  <c r="N103" i="2"/>
  <c r="O103" i="2" s="1"/>
  <c r="N101" i="2"/>
  <c r="O101" i="2" s="1"/>
  <c r="N100" i="2"/>
  <c r="O100" i="2" s="1"/>
  <c r="N139" i="2"/>
  <c r="O139" i="2" s="1"/>
  <c r="N138" i="2"/>
  <c r="O138" i="2" s="1"/>
  <c r="N107" i="2"/>
  <c r="O107" i="2" s="1"/>
  <c r="N112" i="2"/>
  <c r="O112" i="2" s="1"/>
  <c r="N95" i="2"/>
  <c r="O95" i="2" s="1"/>
  <c r="O54" i="2"/>
  <c r="O57" i="2"/>
  <c r="O114" i="2"/>
  <c r="O104" i="2"/>
  <c r="O55" i="2"/>
  <c r="O72" i="2"/>
  <c r="O50" i="2"/>
  <c r="O74" i="2"/>
  <c r="O115" i="2"/>
  <c r="O32" i="2"/>
  <c r="O10" i="2"/>
  <c r="O137" i="2"/>
  <c r="O83" i="2"/>
  <c r="O132" i="2"/>
  <c r="O96" i="2"/>
  <c r="O73" i="2"/>
  <c r="O27" i="2"/>
  <c r="O7" i="2"/>
  <c r="O129" i="2"/>
  <c r="O29" i="2"/>
  <c r="O43" i="2"/>
  <c r="O98" i="2"/>
  <c r="O116" i="2"/>
  <c r="O69" i="2"/>
  <c r="O23" i="2"/>
  <c r="O110" i="2"/>
  <c r="O63" i="2"/>
  <c r="O141" i="2"/>
  <c r="O6" i="2"/>
  <c r="O17" i="2"/>
  <c r="O46" i="2"/>
  <c r="O71" i="2"/>
  <c r="E2" i="4"/>
  <c r="O2" i="2"/>
  <c r="H2" i="4" l="1"/>
</calcChain>
</file>

<file path=xl/sharedStrings.xml><?xml version="1.0" encoding="utf-8"?>
<sst xmlns="http://schemas.openxmlformats.org/spreadsheetml/2006/main" count="1431" uniqueCount="507">
  <si>
    <t>Employee ID</t>
  </si>
  <si>
    <t>Name</t>
  </si>
  <si>
    <t>Department</t>
  </si>
  <si>
    <t>Position</t>
  </si>
  <si>
    <t>Entry Date</t>
  </si>
  <si>
    <t>FTE</t>
  </si>
  <si>
    <t>Cost Center</t>
  </si>
  <si>
    <t>Status</t>
  </si>
  <si>
    <t>Effective Date</t>
  </si>
  <si>
    <t>Base Salary (Gross)</t>
  </si>
  <si>
    <t>% Increase</t>
  </si>
  <si>
    <t>Reason</t>
  </si>
  <si>
    <t>Approved By</t>
  </si>
  <si>
    <t>Approval Date</t>
  </si>
  <si>
    <t>Comment</t>
  </si>
  <si>
    <t>Month</t>
  </si>
  <si>
    <t>Budget</t>
  </si>
  <si>
    <t>Variance</t>
  </si>
  <si>
    <t>Variance %</t>
  </si>
  <si>
    <t>Total Payroll</t>
  </si>
  <si>
    <t>Release Status (Yes/No)</t>
  </si>
  <si>
    <t>Released By</t>
  </si>
  <si>
    <t>Release Date</t>
  </si>
  <si>
    <t>Експерт, трудова заетост</t>
  </si>
  <si>
    <t>Active</t>
  </si>
  <si>
    <t>Счетоводство</t>
  </si>
  <si>
    <t>Заваръчно</t>
  </si>
  <si>
    <t>Преси</t>
  </si>
  <si>
    <t>Монтаж</t>
  </si>
  <si>
    <t>Механична обработка</t>
  </si>
  <si>
    <t>Калкулация</t>
  </si>
  <si>
    <t>ТРАНСПОРТ</t>
  </si>
  <si>
    <t>Инструментален отдел</t>
  </si>
  <si>
    <t>Склад</t>
  </si>
  <si>
    <t>Поддръжка машини</t>
  </si>
  <si>
    <t>Автоматизация</t>
  </si>
  <si>
    <t>Развойна дейност</t>
  </si>
  <si>
    <t>Осигуряване на качеството</t>
  </si>
  <si>
    <t>Шприцоване</t>
  </si>
  <si>
    <t>Управление на качеството</t>
  </si>
  <si>
    <t>Управление ЧР</t>
  </si>
  <si>
    <t>Управление на проекти</t>
  </si>
  <si>
    <t>Производство</t>
  </si>
  <si>
    <t>Спедиция</t>
  </si>
  <si>
    <t>Заготовки за производство</t>
  </si>
  <si>
    <t>Сгради</t>
  </si>
  <si>
    <t>Покупки</t>
  </si>
  <si>
    <t>Дизайн на инструменти</t>
  </si>
  <si>
    <t>Дизайн на автоматизация</t>
  </si>
  <si>
    <t>Общи IT</t>
  </si>
  <si>
    <t>Старши счетоводител</t>
  </si>
  <si>
    <t>Заварчик</t>
  </si>
  <si>
    <t>Оператор, преса за метал</t>
  </si>
  <si>
    <t>Машинен оператор</t>
  </si>
  <si>
    <t>Монтажник, изделия от метал</t>
  </si>
  <si>
    <t>Машинен оператор, металообработващи машини</t>
  </si>
  <si>
    <t>Технолог</t>
  </si>
  <si>
    <t>Шофьор, лекотоварен автомобил</t>
  </si>
  <si>
    <t>Настройчик, металообработващи машини с цифрово управление</t>
  </si>
  <si>
    <t>Матричар</t>
  </si>
  <si>
    <t>Водач, мотокар</t>
  </si>
  <si>
    <t>Шлосер</t>
  </si>
  <si>
    <t>Електротехник, промишлено предприятие</t>
  </si>
  <si>
    <t>Инженер, електрически машини и апарати</t>
  </si>
  <si>
    <t>Инженер-технолог, електротехнически изделия</t>
  </si>
  <si>
    <t>Оператор, робот</t>
  </si>
  <si>
    <t>Инженер, конструктор</t>
  </si>
  <si>
    <t>Настройчик, металообработващи машини</t>
  </si>
  <si>
    <t>Настройчик, пресови металообработващи машини</t>
  </si>
  <si>
    <t>Инженер, качество</t>
  </si>
  <si>
    <t>Окачествител, продукти (без храни и напитки)</t>
  </si>
  <si>
    <t>Машинен оператор, производство на пластмасови изделия</t>
  </si>
  <si>
    <t>Настройчик монтажно оборудване и производствени линии</t>
  </si>
  <si>
    <t>Ръководител сектор/звено в промишлеността</t>
  </si>
  <si>
    <t>Инженер, механик</t>
  </si>
  <si>
    <t>Организатор, ремонт и поддръжка</t>
  </si>
  <si>
    <t>Служител, човешки ресурси</t>
  </si>
  <si>
    <t>Техник-механик, технолог (студена обработка)</t>
  </si>
  <si>
    <t>Мениджър, производство</t>
  </si>
  <si>
    <t>Специалист, логистика</t>
  </si>
  <si>
    <t>Полировач, метал</t>
  </si>
  <si>
    <t>Директор, производство</t>
  </si>
  <si>
    <t>Работник, поддръжка</t>
  </si>
  <si>
    <t>Снабдител, доставчик</t>
  </si>
  <si>
    <t>Общ работник</t>
  </si>
  <si>
    <t>Зареждач, промишлено производство (ръчно)</t>
  </si>
  <si>
    <t>Специалист, доставки</t>
  </si>
  <si>
    <t>Инженер, автоматизация</t>
  </si>
  <si>
    <t>Контрольор, качество</t>
  </si>
  <si>
    <t>Специалист, качество</t>
  </si>
  <si>
    <t>Технически сътрудник</t>
  </si>
  <si>
    <t>Счетоводител, оперативен</t>
  </si>
  <si>
    <t>Организатор, работа с клиенти</t>
  </si>
  <si>
    <t>Резач, метал</t>
  </si>
  <si>
    <t>Организатор, производство</t>
  </si>
  <si>
    <t>Специалист, управление на човешките ресурси</t>
  </si>
  <si>
    <t>Техник, автоматизация</t>
  </si>
  <si>
    <t>Главен инженер, преработваща промишленост</t>
  </si>
  <si>
    <t>Инженер, производство</t>
  </si>
  <si>
    <t>Настройчик на шприцмашини и сродни на тях</t>
  </si>
  <si>
    <t>Технически изпълнител</t>
  </si>
  <si>
    <t>Организатор, отдел Заваръчен</t>
  </si>
  <si>
    <t>Ръководител/Началник/Мениджър отдел</t>
  </si>
  <si>
    <t>Счетоводител</t>
  </si>
  <si>
    <t>Склададжия</t>
  </si>
  <si>
    <t>Ръководител, производствени  технологии</t>
  </si>
  <si>
    <t>Технолог, технология на пластмасите</t>
  </si>
  <si>
    <t>Машинен оператор, опаковане/увиване</t>
  </si>
  <si>
    <t>Ръководител звено</t>
  </si>
  <si>
    <t>Организатор</t>
  </si>
  <si>
    <t>Специалист, координатор информационни технологии</t>
  </si>
  <si>
    <t>Координатор производство</t>
  </si>
  <si>
    <t>Организатор, експедиция/товаро-разтоварна и спедиторска дейност</t>
  </si>
  <si>
    <t>Администратор, информационни системи</t>
  </si>
  <si>
    <t>Машинен инженер</t>
  </si>
  <si>
    <t>Мениджър, проекти</t>
  </si>
  <si>
    <t>Inactive</t>
  </si>
  <si>
    <t>Professional experience (Gross)</t>
  </si>
  <si>
    <t>Fixed Bonus (Gross)</t>
  </si>
  <si>
    <t>Total (Gross)</t>
  </si>
  <si>
    <t>нови задължения</t>
  </si>
  <si>
    <t>изготвяне на заплати</t>
  </si>
  <si>
    <t>Мария Венева</t>
  </si>
  <si>
    <t>Row Labels</t>
  </si>
  <si>
    <t>Grand Total</t>
  </si>
  <si>
    <t>Count of Name</t>
  </si>
  <si>
    <t>2026</t>
  </si>
  <si>
    <t>(All)</t>
  </si>
  <si>
    <t>Years (Effective Date)</t>
  </si>
  <si>
    <t>Quarters (Effective Date)</t>
  </si>
  <si>
    <t>Months (Effective Date)</t>
  </si>
  <si>
    <t>Month Employer Cost</t>
  </si>
  <si>
    <t>Annual Employer Cost</t>
  </si>
  <si>
    <t>Sum of Month Employer Cost</t>
  </si>
  <si>
    <t>Sum of Annual Employer Cost</t>
  </si>
  <si>
    <t>Food Vaucher</t>
  </si>
  <si>
    <t>Salary (netto)</t>
  </si>
  <si>
    <t>Approved Annual Budget (netto)</t>
  </si>
  <si>
    <t>Total Monthly Salary (netto) include food vaucher</t>
  </si>
  <si>
    <t>Annual Salary (netto)</t>
  </si>
  <si>
    <t>Sum of Annual Salary (netto)</t>
  </si>
  <si>
    <t>Approved Monthly Budget (netto)</t>
  </si>
  <si>
    <t>Actual Payroll (netto)</t>
  </si>
  <si>
    <t>Level</t>
  </si>
  <si>
    <t>Code</t>
  </si>
  <si>
    <t>Cost Center Name</t>
  </si>
  <si>
    <t>Level 1 Group</t>
  </si>
  <si>
    <t>Level 2 Group</t>
  </si>
  <si>
    <t>Level 3 Group</t>
  </si>
  <si>
    <t>Notes</t>
  </si>
  <si>
    <t>99999</t>
  </si>
  <si>
    <t>1</t>
  </si>
  <si>
    <t>General areas - production</t>
  </si>
  <si>
    <t>10</t>
  </si>
  <si>
    <t xml:space="preserve">    Manufacturing</t>
  </si>
  <si>
    <t>Manufacturing</t>
  </si>
  <si>
    <t>100</t>
  </si>
  <si>
    <t xml:space="preserve">        Manufacturing</t>
  </si>
  <si>
    <t>11</t>
  </si>
  <si>
    <t xml:space="preserve">    Setup &amp; Deburr</t>
  </si>
  <si>
    <t>Setup &amp; Deburr</t>
  </si>
  <si>
    <t>110</t>
  </si>
  <si>
    <t xml:space="preserve">        Setup &amp; Deburring</t>
  </si>
  <si>
    <t>Setup &amp; Deburring</t>
  </si>
  <si>
    <t>111</t>
  </si>
  <si>
    <t xml:space="preserve">        Cutting</t>
  </si>
  <si>
    <t>Cutting</t>
  </si>
  <si>
    <t>112</t>
  </si>
  <si>
    <t xml:space="preserve">        Brushing</t>
  </si>
  <si>
    <t>Brushing</t>
  </si>
  <si>
    <t>113</t>
  </si>
  <si>
    <t xml:space="preserve">        Belt grinding</t>
  </si>
  <si>
    <t>Belt grinding</t>
  </si>
  <si>
    <t>114</t>
  </si>
  <si>
    <t xml:space="preserve">        Sand blasting</t>
  </si>
  <si>
    <t>Sand blasting</t>
  </si>
  <si>
    <t>115</t>
  </si>
  <si>
    <t xml:space="preserve">        Vibro grinding</t>
  </si>
  <si>
    <t>Vibro grinding</t>
  </si>
  <si>
    <t>119</t>
  </si>
  <si>
    <t xml:space="preserve">        Deburring</t>
  </si>
  <si>
    <t>Deburring</t>
  </si>
  <si>
    <t>12</t>
  </si>
  <si>
    <t xml:space="preserve">    Presses</t>
  </si>
  <si>
    <t>Presses</t>
  </si>
  <si>
    <t>120</t>
  </si>
  <si>
    <t xml:space="preserve">        Presses</t>
  </si>
  <si>
    <t>121</t>
  </si>
  <si>
    <t xml:space="preserve">        Automatic presses</t>
  </si>
  <si>
    <t>Automatic presses</t>
  </si>
  <si>
    <t>122</t>
  </si>
  <si>
    <t xml:space="preserve">        Hydraulic presses</t>
  </si>
  <si>
    <t>Hydraulic presses</t>
  </si>
  <si>
    <t>123</t>
  </si>
  <si>
    <t xml:space="preserve">        Excenter presses</t>
  </si>
  <si>
    <t>Excenter presses</t>
  </si>
  <si>
    <t>124</t>
  </si>
  <si>
    <t xml:space="preserve">        Production island brushes</t>
  </si>
  <si>
    <t>Production island brushes</t>
  </si>
  <si>
    <t>125</t>
  </si>
  <si>
    <t xml:space="preserve">        Drilling</t>
  </si>
  <si>
    <t>Drilling</t>
  </si>
  <si>
    <t>126</t>
  </si>
  <si>
    <t xml:space="preserve">        Miscellaneous press-department</t>
  </si>
  <si>
    <t>Miscellaneous press-department</t>
  </si>
  <si>
    <t>127</t>
  </si>
  <si>
    <t xml:space="preserve">        Press brake</t>
  </si>
  <si>
    <t>Press brake</t>
  </si>
  <si>
    <t>13</t>
  </si>
  <si>
    <t xml:space="preserve">    Mechanic</t>
  </si>
  <si>
    <t>Mechanic</t>
  </si>
  <si>
    <t>130</t>
  </si>
  <si>
    <t xml:space="preserve">        Mechanic</t>
  </si>
  <si>
    <t>131</t>
  </si>
  <si>
    <t xml:space="preserve">        Cam lathe</t>
  </si>
  <si>
    <t>Cam lathe</t>
  </si>
  <si>
    <t>132</t>
  </si>
  <si>
    <t xml:space="preserve">        NC turning</t>
  </si>
  <si>
    <t>NC turning</t>
  </si>
  <si>
    <t>133</t>
  </si>
  <si>
    <t xml:space="preserve">        Turning</t>
  </si>
  <si>
    <t>Turning</t>
  </si>
  <si>
    <t>134</t>
  </si>
  <si>
    <t xml:space="preserve">        NC milling</t>
  </si>
  <si>
    <t>NC milling</t>
  </si>
  <si>
    <t>139</t>
  </si>
  <si>
    <t xml:space="preserve">        Miscellaneous mechanic</t>
  </si>
  <si>
    <t>Miscellaneous mechanic</t>
  </si>
  <si>
    <t>14</t>
  </si>
  <si>
    <t xml:space="preserve">    Welding</t>
  </si>
  <si>
    <t>Welding</t>
  </si>
  <si>
    <t>140</t>
  </si>
  <si>
    <t xml:space="preserve">        Welding</t>
  </si>
  <si>
    <t>142</t>
  </si>
  <si>
    <t xml:space="preserve">        Welding robots</t>
  </si>
  <si>
    <t>Welding robots</t>
  </si>
  <si>
    <t>148</t>
  </si>
  <si>
    <t xml:space="preserve">        Miscellaneous welding</t>
  </si>
  <si>
    <t>Miscellaneous welding</t>
  </si>
  <si>
    <t>16</t>
  </si>
  <si>
    <t xml:space="preserve">    Assembly</t>
  </si>
  <si>
    <t>Assembly</t>
  </si>
  <si>
    <t>160</t>
  </si>
  <si>
    <t xml:space="preserve">        Assembly</t>
  </si>
  <si>
    <t>161</t>
  </si>
  <si>
    <t xml:space="preserve">        Riveting machines</t>
  </si>
  <si>
    <t>Riveting machines</t>
  </si>
  <si>
    <t>167</t>
  </si>
  <si>
    <t xml:space="preserve">        Special equipment assembly</t>
  </si>
  <si>
    <t>Special equipment assembly</t>
  </si>
  <si>
    <t>168</t>
  </si>
  <si>
    <t>169</t>
  </si>
  <si>
    <t xml:space="preserve">        Manual workplaces assembly</t>
  </si>
  <si>
    <t>Manual workplaces assembly</t>
  </si>
  <si>
    <t>18</t>
  </si>
  <si>
    <t xml:space="preserve">    Injection Molding</t>
  </si>
  <si>
    <t>Injection Molding</t>
  </si>
  <si>
    <t>180</t>
  </si>
  <si>
    <t xml:space="preserve">        Injection Molding</t>
  </si>
  <si>
    <t>182</t>
  </si>
  <si>
    <t xml:space="preserve">        Injectionpresses &gt; 100T</t>
  </si>
  <si>
    <t>Injectionpresses &gt; 100T</t>
  </si>
  <si>
    <t>183</t>
  </si>
  <si>
    <t xml:space="preserve">        Injectionpresse &gt; 50T &lt; 100T</t>
  </si>
  <si>
    <t>Injectionpresse &gt; 50T &lt; 100T</t>
  </si>
  <si>
    <t>184</t>
  </si>
  <si>
    <t xml:space="preserve">        Injectionpresse &lt; 50T</t>
  </si>
  <si>
    <t>Injectionpresse &lt; 50T</t>
  </si>
  <si>
    <t>189</t>
  </si>
  <si>
    <t xml:space="preserve">        Manual workplaces molding</t>
  </si>
  <si>
    <t>Manual workplaces molding</t>
  </si>
  <si>
    <t>2</t>
  </si>
  <si>
    <t>Manufacturing sub branches</t>
  </si>
  <si>
    <t>20</t>
  </si>
  <si>
    <t xml:space="preserve">    Tooling</t>
  </si>
  <si>
    <t>Tooling</t>
  </si>
  <si>
    <t>200</t>
  </si>
  <si>
    <t xml:space="preserve">        Tooling</t>
  </si>
  <si>
    <t>21</t>
  </si>
  <si>
    <t>210</t>
  </si>
  <si>
    <t>211</t>
  </si>
  <si>
    <t xml:space="preserve">        Miscellaneous machines OR</t>
  </si>
  <si>
    <t>Miscellaneous machines OR</t>
  </si>
  <si>
    <t>214</t>
  </si>
  <si>
    <t xml:space="preserve">        Milling OR</t>
  </si>
  <si>
    <t>Milling OR</t>
  </si>
  <si>
    <t>216</t>
  </si>
  <si>
    <t xml:space="preserve">        EDM</t>
  </si>
  <si>
    <t>EDM</t>
  </si>
  <si>
    <t>217</t>
  </si>
  <si>
    <t xml:space="preserve">        Grinding OR</t>
  </si>
  <si>
    <t>Grinding OR</t>
  </si>
  <si>
    <t>219</t>
  </si>
  <si>
    <t xml:space="preserve">        Assembly tooling</t>
  </si>
  <si>
    <t>Assembly tooling</t>
  </si>
  <si>
    <t>22</t>
  </si>
  <si>
    <t xml:space="preserve">    Automation</t>
  </si>
  <si>
    <t>Automation</t>
  </si>
  <si>
    <t>220</t>
  </si>
  <si>
    <t xml:space="preserve">        Automation</t>
  </si>
  <si>
    <t>222</t>
  </si>
  <si>
    <t>24</t>
  </si>
  <si>
    <t xml:space="preserve">    Engineering</t>
  </si>
  <si>
    <t>Engineering</t>
  </si>
  <si>
    <t>240</t>
  </si>
  <si>
    <t xml:space="preserve">        Engineering</t>
  </si>
  <si>
    <t>241</t>
  </si>
  <si>
    <t xml:space="preserve">        Tooling design</t>
  </si>
  <si>
    <t>Tooling design</t>
  </si>
  <si>
    <t>242</t>
  </si>
  <si>
    <t xml:space="preserve">        Lean engineering</t>
  </si>
  <si>
    <t>Lean engineering</t>
  </si>
  <si>
    <t>243</t>
  </si>
  <si>
    <t xml:space="preserve">        Job engineering</t>
  </si>
  <si>
    <t>Job engineering</t>
  </si>
  <si>
    <t>244</t>
  </si>
  <si>
    <t xml:space="preserve">        Automation design</t>
  </si>
  <si>
    <t>Automation design</t>
  </si>
  <si>
    <t>25</t>
  </si>
  <si>
    <t xml:space="preserve">    Quality assurance (DO NOT USE)</t>
  </si>
  <si>
    <t>Quality assurance (DO NOT USE)</t>
  </si>
  <si>
    <t>250</t>
  </si>
  <si>
    <t xml:space="preserve">        DO NOT USE Quality assurance</t>
  </si>
  <si>
    <t>DO NOT USE Quality assurance</t>
  </si>
  <si>
    <t>251</t>
  </si>
  <si>
    <t xml:space="preserve">        DO NOT USE Quality control</t>
  </si>
  <si>
    <t>DO NOT USE Quality control</t>
  </si>
  <si>
    <t>252</t>
  </si>
  <si>
    <t xml:space="preserve">        DO NOT USE Calibration</t>
  </si>
  <si>
    <t>DO NOT USE Calibration</t>
  </si>
  <si>
    <t>29</t>
  </si>
  <si>
    <t xml:space="preserve">    External Works</t>
  </si>
  <si>
    <t>External Works</t>
  </si>
  <si>
    <t>296</t>
  </si>
  <si>
    <t xml:space="preserve">        External Works</t>
  </si>
  <si>
    <t>3</t>
  </si>
  <si>
    <t>Materials</t>
  </si>
  <si>
    <t>30</t>
  </si>
  <si>
    <t xml:space="preserve">    Materials management</t>
  </si>
  <si>
    <t>Materials management</t>
  </si>
  <si>
    <t>300</t>
  </si>
  <si>
    <t xml:space="preserve">        Materials management</t>
  </si>
  <si>
    <t>31</t>
  </si>
  <si>
    <t xml:space="preserve">    Purchasing</t>
  </si>
  <si>
    <t>Purchasing</t>
  </si>
  <si>
    <t>310</t>
  </si>
  <si>
    <t xml:space="preserve">        Purchasing</t>
  </si>
  <si>
    <t>311</t>
  </si>
  <si>
    <t xml:space="preserve">        Purchasing department</t>
  </si>
  <si>
    <t>Purchasing department</t>
  </si>
  <si>
    <t>312</t>
  </si>
  <si>
    <t xml:space="preserve">        Laboratory</t>
  </si>
  <si>
    <t>Laboratory</t>
  </si>
  <si>
    <t>32</t>
  </si>
  <si>
    <t xml:space="preserve">    Warehouse</t>
  </si>
  <si>
    <t>Warehouse</t>
  </si>
  <si>
    <t>320</t>
  </si>
  <si>
    <t xml:space="preserve">        Warehouse</t>
  </si>
  <si>
    <t>321</t>
  </si>
  <si>
    <t xml:space="preserve">        Stock</t>
  </si>
  <si>
    <t>Stock</t>
  </si>
  <si>
    <t>322</t>
  </si>
  <si>
    <t xml:space="preserve">        Goods reception</t>
  </si>
  <si>
    <t>Goods reception</t>
  </si>
  <si>
    <t>323</t>
  </si>
  <si>
    <t xml:space="preserve">        Warehouse accounting</t>
  </si>
  <si>
    <t>Warehouse accounting</t>
  </si>
  <si>
    <t>35</t>
  </si>
  <si>
    <t xml:space="preserve">    Quality assurance</t>
  </si>
  <si>
    <t>Quality assurance</t>
  </si>
  <si>
    <t>350</t>
  </si>
  <si>
    <t xml:space="preserve">        Quality assurance</t>
  </si>
  <si>
    <t>351</t>
  </si>
  <si>
    <t xml:space="preserve">        Quality control</t>
  </si>
  <si>
    <t>Quality control</t>
  </si>
  <si>
    <t>352</t>
  </si>
  <si>
    <t xml:space="preserve">        Calibration</t>
  </si>
  <si>
    <t>Calibration</t>
  </si>
  <si>
    <t>39</t>
  </si>
  <si>
    <t xml:space="preserve">    Fleet</t>
  </si>
  <si>
    <t>Fleet</t>
  </si>
  <si>
    <t>390</t>
  </si>
  <si>
    <t xml:space="preserve">        Fleet</t>
  </si>
  <si>
    <t>391</t>
  </si>
  <si>
    <t xml:space="preserve">        TIR</t>
  </si>
  <si>
    <t>TIR</t>
  </si>
  <si>
    <t>392</t>
  </si>
  <si>
    <t xml:space="preserve">        Trucks</t>
  </si>
  <si>
    <t>Trucks</t>
  </si>
  <si>
    <t>393</t>
  </si>
  <si>
    <t xml:space="preserve">        Cars</t>
  </si>
  <si>
    <t>Cars</t>
  </si>
  <si>
    <t>394</t>
  </si>
  <si>
    <t xml:space="preserve">        Forklift</t>
  </si>
  <si>
    <t>Forklift</t>
  </si>
  <si>
    <t>395</t>
  </si>
  <si>
    <t xml:space="preserve">        Stacker</t>
  </si>
  <si>
    <t>Stacker</t>
  </si>
  <si>
    <t>4</t>
  </si>
  <si>
    <t>Distribution</t>
  </si>
  <si>
    <t>40</t>
  </si>
  <si>
    <t xml:space="preserve">    Distribution</t>
  </si>
  <si>
    <t>400</t>
  </si>
  <si>
    <t xml:space="preserve">        Distribution</t>
  </si>
  <si>
    <t>41</t>
  </si>
  <si>
    <t xml:space="preserve">    Sales</t>
  </si>
  <si>
    <t>Sales</t>
  </si>
  <si>
    <t>410</t>
  </si>
  <si>
    <t xml:space="preserve">        Sales</t>
  </si>
  <si>
    <t>42</t>
  </si>
  <si>
    <t xml:space="preserve">    Marketing</t>
  </si>
  <si>
    <t>Marketing</t>
  </si>
  <si>
    <t>420</t>
  </si>
  <si>
    <t xml:space="preserve">        Marketing</t>
  </si>
  <si>
    <t>43</t>
  </si>
  <si>
    <t xml:space="preserve">    Spedition</t>
  </si>
  <si>
    <t>Spedition</t>
  </si>
  <si>
    <t>430</t>
  </si>
  <si>
    <t xml:space="preserve">        Spedition</t>
  </si>
  <si>
    <t>44</t>
  </si>
  <si>
    <t xml:space="preserve">    Costing</t>
  </si>
  <si>
    <t>Costing</t>
  </si>
  <si>
    <t>440</t>
  </si>
  <si>
    <t xml:space="preserve">        Costing</t>
  </si>
  <si>
    <t>45</t>
  </si>
  <si>
    <t xml:space="preserve">    Product development</t>
  </si>
  <si>
    <t>Product development</t>
  </si>
  <si>
    <t>450</t>
  </si>
  <si>
    <t xml:space="preserve">        Product development</t>
  </si>
  <si>
    <t>46</t>
  </si>
  <si>
    <t xml:space="preserve">    Project Management</t>
  </si>
  <si>
    <t>Project Management</t>
  </si>
  <si>
    <t>460</t>
  </si>
  <si>
    <t xml:space="preserve">        Project Management</t>
  </si>
  <si>
    <t>5</t>
  </si>
  <si>
    <t>Administration</t>
  </si>
  <si>
    <t>50</t>
  </si>
  <si>
    <t xml:space="preserve">    Administration</t>
  </si>
  <si>
    <t>500</t>
  </si>
  <si>
    <t xml:space="preserve">        Administration</t>
  </si>
  <si>
    <t>51</t>
  </si>
  <si>
    <t xml:space="preserve">    Management</t>
  </si>
  <si>
    <t>Management</t>
  </si>
  <si>
    <t>510</t>
  </si>
  <si>
    <t xml:space="preserve">        Management</t>
  </si>
  <si>
    <t>52</t>
  </si>
  <si>
    <t xml:space="preserve">    Internal revision</t>
  </si>
  <si>
    <t>Internal revision</t>
  </si>
  <si>
    <t>520</t>
  </si>
  <si>
    <t xml:space="preserve">        Internal revision</t>
  </si>
  <si>
    <t>53</t>
  </si>
  <si>
    <t xml:space="preserve">    Legal department</t>
  </si>
  <si>
    <t>Legal department</t>
  </si>
  <si>
    <t>530</t>
  </si>
  <si>
    <t xml:space="preserve">        Legal department</t>
  </si>
  <si>
    <t>54</t>
  </si>
  <si>
    <t xml:space="preserve">    Accountancy</t>
  </si>
  <si>
    <t>Accountancy</t>
  </si>
  <si>
    <t>540</t>
  </si>
  <si>
    <t xml:space="preserve">        Accountancy</t>
  </si>
  <si>
    <t>55</t>
  </si>
  <si>
    <t xml:space="preserve">    HR</t>
  </si>
  <si>
    <t>HR</t>
  </si>
  <si>
    <t>550</t>
  </si>
  <si>
    <t xml:space="preserve">        HR</t>
  </si>
  <si>
    <t>56</t>
  </si>
  <si>
    <t xml:space="preserve">    IT</t>
  </si>
  <si>
    <t>IT</t>
  </si>
  <si>
    <t>560</t>
  </si>
  <si>
    <t xml:space="preserve">        IT</t>
  </si>
  <si>
    <t>57</t>
  </si>
  <si>
    <t xml:space="preserve">    Quality management</t>
  </si>
  <si>
    <t>Quality management</t>
  </si>
  <si>
    <t>570</t>
  </si>
  <si>
    <t xml:space="preserve">        Quality management</t>
  </si>
  <si>
    <t>6</t>
  </si>
  <si>
    <t>General areas</t>
  </si>
  <si>
    <t>60</t>
  </si>
  <si>
    <t xml:space="preserve">    General area</t>
  </si>
  <si>
    <t>General area</t>
  </si>
  <si>
    <t>600</t>
  </si>
  <si>
    <t xml:space="preserve">        General area</t>
  </si>
  <si>
    <t>61</t>
  </si>
  <si>
    <t xml:space="preserve">    Real estate</t>
  </si>
  <si>
    <t>Real estate</t>
  </si>
  <si>
    <t>611</t>
  </si>
  <si>
    <t xml:space="preserve">        Real estate</t>
  </si>
  <si>
    <t>62</t>
  </si>
  <si>
    <t xml:space="preserve">    Social services</t>
  </si>
  <si>
    <t>Social services</t>
  </si>
  <si>
    <t>621</t>
  </si>
  <si>
    <t xml:space="preserve">        Social services</t>
  </si>
  <si>
    <t>63</t>
  </si>
  <si>
    <t xml:space="preserve">    Energy and communications</t>
  </si>
  <si>
    <t>Energy and communications</t>
  </si>
  <si>
    <t>631</t>
  </si>
  <si>
    <t xml:space="preserve">        Energy</t>
  </si>
  <si>
    <t>Energy</t>
  </si>
  <si>
    <t>632</t>
  </si>
  <si>
    <t xml:space="preserve">        Communications</t>
  </si>
  <si>
    <t>Communications</t>
  </si>
  <si>
    <t>64</t>
  </si>
  <si>
    <t xml:space="preserve">    Maintenance</t>
  </si>
  <si>
    <t>Maintenance</t>
  </si>
  <si>
    <t>641</t>
  </si>
  <si>
    <t xml:space="preserve">        Maintenance</t>
  </si>
  <si>
    <t>Продажби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</si>
</sst>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0"/>
      <color rgb="FFFFFFFF"/>
      <name val="Arial"/>
    </font>
    <font>
      <sz val="8"/>
      <color rgb="FF333333"/>
      <name val="Arial"/>
    </font>
    <font>
      <b/>
      <sz val="9"/>
      <color rgb="FF1A2B3C"/>
      <name val="Arial"/>
    </font>
    <font>
      <sz val="9"/>
      <color rgb="FF333333"/>
      <name val="Arial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5F6062"/>
      </patternFill>
    </fill>
    <fill>
      <patternFill patternType="solid">
        <fgColor rgb="FF1A2B3C"/>
      </patternFill>
    </fill>
    <fill>
      <patternFill patternType="solid">
        <fgColor rgb="FF1168AF"/>
      </patternFill>
    </fill>
    <fill>
      <patternFill patternType="solid">
        <fgColor rgb="FFD6E6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1168AF"/>
      </bottom>
      <diagonal/>
    </border>
    <border>
      <left/>
      <right/>
      <top/>
      <bottom style="thin">
        <color rgb="FFE0E0E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top" wrapText="1"/>
    </xf>
    <xf numFmtId="2" fontId="0" fillId="0" borderId="0" xfId="0" applyNumberFormat="1"/>
    <xf numFmtId="0" fontId="1" fillId="0" borderId="0" xfId="0" applyFont="1" applyAlignment="1">
      <alignment horizontal="center" vertical="center" wrapText="1"/>
    </xf>
    <xf numFmtId="9" fontId="0" fillId="0" borderId="0" xfId="1" applyFont="1"/>
    <xf numFmtId="0" fontId="3" fillId="0" borderId="0" xfId="0" applyFont="1" applyAlignment="1">
      <alignment horizontal="center" vertical="center" wrapText="1"/>
    </xf>
    <xf numFmtId="0" fontId="0" fillId="0" borderId="0" xfId="0" pivotButton="1"/>
    <xf numFmtId="0" fontId="4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0" fillId="4" borderId="2" xfId="0" applyFill="1" applyBorder="1"/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0" fillId="5" borderId="2" xfId="0" applyFill="1" applyBorder="1"/>
    <xf numFmtId="0" fontId="6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vertical="center"/>
    </xf>
    <xf numFmtId="0" fontId="5" fillId="6" borderId="2" xfId="0" applyFont="1" applyFill="1" applyBorder="1" applyAlignment="1">
      <alignment vertical="center"/>
    </xf>
    <xf numFmtId="0" fontId="0" fillId="6" borderId="2" xfId="0" applyFill="1" applyBorder="1"/>
    <xf numFmtId="0" fontId="7" fillId="7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vertical="center"/>
    </xf>
    <xf numFmtId="0" fontId="5" fillId="7" borderId="2" xfId="0" applyFont="1" applyFill="1" applyBorder="1" applyAlignment="1">
      <alignment vertical="center"/>
    </xf>
    <xf numFmtId="0" fontId="0" fillId="7" borderId="2" xfId="0" applyFill="1" applyBorder="1"/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0" fillId="2" borderId="2" xfId="0" applyFill="1" applyBorder="1"/>
    <xf numFmtId="0" fontId="1" fillId="0" borderId="0" xfId="0" applyFont="1" applyAlignment="1">
      <alignment wrapText="1"/>
    </xf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rdanka Sumova" refreshedDate="46106.588047106481" createdVersion="8" refreshedVersion="8" minRefreshableVersion="3" recordCount="153" xr:uid="{669F4DF7-7131-4946-8ECF-881EDD47465B}">
  <cacheSource type="worksheet">
    <worksheetSource ref="A1:S154" sheet="Salary History"/>
  </cacheSource>
  <cacheFields count="22">
    <cacheField name="Employee ID" numFmtId="0">
      <sharedItems containsSemiMixedTypes="0" containsString="0" containsNumber="1" containsInteger="1" minValue="3" maxValue="756"/>
    </cacheField>
    <cacheField name="Effective Date" numFmtId="14">
      <sharedItems containsSemiMixedTypes="0" containsNonDate="0" containsDate="1" containsString="0" minDate="2025-04-01T00:00:00" maxDate="2026-01-02T00:00:00" count="2">
        <d v="2026-01-01T00:00:00"/>
        <d v="2025-04-01T00:00:00"/>
      </sharedItems>
      <fieldGroup par="21"/>
    </cacheField>
    <cacheField name="Name" numFmtId="0">
      <sharedItems/>
    </cacheField>
    <cacheField name="Cost Center" numFmtId="0">
      <sharedItems containsSemiMixedTypes="0" containsString="0" containsNumber="1" containsInteger="1" minValue="1000" maxValue="6410" count="27">
        <n v="5400"/>
        <n v="1400"/>
        <n v="1200"/>
        <n v="1600"/>
        <n v="1300"/>
        <n v="4400"/>
        <n v="3900"/>
        <n v="2100"/>
        <n v="3200"/>
        <n v="6410"/>
        <n v="2220"/>
        <n v="4500"/>
        <n v="3500"/>
        <n v="1800"/>
        <n v="1680"/>
        <n v="5700"/>
        <n v="5500"/>
        <n v="4600"/>
        <n v="1000"/>
        <n v="4300"/>
        <n v="1100"/>
        <n v="6110"/>
        <n v="3110"/>
        <n v="2410"/>
        <n v="4100"/>
        <n v="2440"/>
        <n v="5600"/>
      </sharedItems>
    </cacheField>
    <cacheField name="Department" numFmtId="0">
      <sharedItems/>
    </cacheField>
    <cacheField name="Base Salary (Gross)" numFmtId="0">
      <sharedItems containsSemiMixedTypes="0" containsString="0" containsNumber="1" minValue="155.94999999999999" maxValue="2965.5"/>
    </cacheField>
    <cacheField name="Professional experience (Gross)" numFmtId="2">
      <sharedItems containsSemiMixedTypes="0" containsString="0" containsNumber="1" minValue="0" maxValue="251.24904000000004"/>
    </cacheField>
    <cacheField name="Fixed Bonus (Gross)" numFmtId="2">
      <sharedItems containsSemiMixedTypes="0" containsString="0" containsNumber="1" minValue="0" maxValue="1910.7"/>
    </cacheField>
    <cacheField name="Food Vaucher" numFmtId="2">
      <sharedItems containsSemiMixedTypes="0" containsString="0" containsNumber="1" minValue="102.26" maxValue="102.26"/>
    </cacheField>
    <cacheField name="Total (Gross)" numFmtId="2">
      <sharedItems containsSemiMixedTypes="0" containsString="0" containsNumber="1" minValue="155.94999999999999" maxValue="4381.78"/>
    </cacheField>
    <cacheField name="Salary (netto)" numFmtId="2">
      <sharedItems containsSemiMixedTypes="0" containsString="0" containsNumber="1" minValue="140.35" maxValue="3681.71"/>
    </cacheField>
    <cacheField name="Total Monthly Salary (netto) include food vaucher" numFmtId="2">
      <sharedItems containsSemiMixedTypes="0" containsString="0" containsNumber="1" minValue="242.61" maxValue="3783.9700000000003"/>
    </cacheField>
    <cacheField name="Annual Salary (netto)" numFmtId="2">
      <sharedItems containsSemiMixedTypes="0" containsString="0" containsNumber="1" minValue="2911.32" maxValue="45407.64"/>
    </cacheField>
    <cacheField name="Month Employer Cost" numFmtId="2">
      <sharedItems containsSemiMixedTypes="0" containsString="0" containsNumber="1" minValue="258.20999999999998" maxValue="5343.7452359999997"/>
    </cacheField>
    <cacheField name="Annual Employer Cost" numFmtId="2">
      <sharedItems containsSemiMixedTypes="0" containsString="0" containsNumber="1" minValue="3098.5199999999995" maxValue="64124.942832000001"/>
    </cacheField>
    <cacheField name="% Increase" numFmtId="0">
      <sharedItems containsString="0" containsBlank="1" containsNumber="1" minValue="0.147890868162732" maxValue="0.147890868162732"/>
    </cacheField>
    <cacheField name="Reason" numFmtId="0">
      <sharedItems containsBlank="1"/>
    </cacheField>
    <cacheField name="Approved By" numFmtId="2">
      <sharedItems containsBlank="1"/>
    </cacheField>
    <cacheField name="Approval Date" numFmtId="14">
      <sharedItems containsNonDate="0" containsDate="1" containsString="0" containsBlank="1" minDate="2025-12-19T00:00:00" maxDate="2025-12-20T00:00:00"/>
    </cacheField>
    <cacheField name="Months (Effective Date)" numFmtId="0" databaseField="0">
      <fieldGroup base="1">
        <rangePr groupBy="months" startDate="2025-04-01T00:00:00" endDate="2026-01-02T00:00:00"/>
        <groupItems count="14">
          <s v="&lt;1.4.2025"/>
          <s v="яну"/>
          <s v="фев"/>
          <s v="мар"/>
          <s v="апр"/>
          <s v="май"/>
          <s v="юни"/>
          <s v="юли"/>
          <s v="авг"/>
          <s v="сеп"/>
          <s v="окт"/>
          <s v="ное"/>
          <s v="дек"/>
          <s v="&gt;2.1.2026"/>
        </groupItems>
      </fieldGroup>
    </cacheField>
    <cacheField name="Quarters (Effective Date)" numFmtId="0" databaseField="0">
      <fieldGroup base="1">
        <rangePr groupBy="quarters" startDate="2025-04-01T00:00:00" endDate="2026-01-02T00:00:00"/>
        <groupItems count="6">
          <s v="&lt;1.4.2025"/>
          <s v="Qtr1"/>
          <s v="Qtr2"/>
          <s v="Qtr3"/>
          <s v="Qtr4"/>
          <s v="&gt;2.1.2026"/>
        </groupItems>
      </fieldGroup>
    </cacheField>
    <cacheField name="Years (Effective Date)" numFmtId="0" databaseField="0">
      <fieldGroup base="1">
        <rangePr groupBy="years" startDate="2025-04-01T00:00:00" endDate="2026-01-02T00:00:00"/>
        <groupItems count="4">
          <s v="&lt;1.4.2025"/>
          <s v="2025"/>
          <s v="2026"/>
          <s v="&gt;2.1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rdanka Sumova" refreshedDate="46108.397994675928" createdVersion="8" refreshedVersion="8" minRefreshableVersion="3" recordCount="154" xr:uid="{63976B9D-B7FD-45AE-ACA8-8E1DF80FCE21}">
  <cacheSource type="worksheet">
    <worksheetSource ref="B1:C155" sheet="Master Data"/>
  </cacheSource>
  <cacheFields count="2">
    <cacheField name="Name" numFmtId="0">
      <sharedItems/>
    </cacheField>
    <cacheField name="Department" numFmtId="0">
      <sharedItems count="27">
        <s v="Счетоводство"/>
        <s v="Заваръчно"/>
        <s v="Преси"/>
        <s v="Монтаж"/>
        <s v="Механична обработка"/>
        <s v="Калкулация"/>
        <s v="ТРАНСПОРТ"/>
        <s v="Инструментален отдел"/>
        <s v="Склад"/>
        <s v="Поддръжка машини"/>
        <s v="Автоматизация"/>
        <s v="Развойна дейност"/>
        <s v="Осигуряване на качеството"/>
        <s v="Шприцоване"/>
        <s v="Управление на качеството"/>
        <s v="Управление ЧР"/>
        <s v="Управление на проекти"/>
        <s v="Производство"/>
        <s v="Спедиция"/>
        <s v="Заготовки за производство"/>
        <s v="Сгради"/>
        <s v="Покупки"/>
        <s v="Дизайн на инструменти"/>
        <s v="Продажби"/>
        <s v="Дизайн на автоматизация"/>
        <s v="Общи IT"/>
        <s v="Логистика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rdanka Sumova" refreshedDate="46108.398231250001" createdVersion="8" refreshedVersion="8" minRefreshableVersion="3" recordCount="153" xr:uid="{CF44D0D7-C020-4872-9A37-89A369517475}">
  <cacheSource type="worksheet">
    <worksheetSource ref="A1:T154" sheet="Salary History"/>
  </cacheSource>
  <cacheFields count="23">
    <cacheField name="Employee ID" numFmtId="0">
      <sharedItems containsSemiMixedTypes="0" containsString="0" containsNumber="1" containsInteger="1" minValue="3" maxValue="756"/>
    </cacheField>
    <cacheField name="Effective Date" numFmtId="14">
      <sharedItems containsSemiMixedTypes="0" containsNonDate="0" containsDate="1" containsString="0" minDate="2025-04-01T00:00:00" maxDate="2026-01-02T00:00:00" count="2">
        <d v="2026-01-01T00:00:00"/>
        <d v="2025-04-01T00:00:00"/>
      </sharedItems>
      <fieldGroup par="22"/>
    </cacheField>
    <cacheField name="Name" numFmtId="0">
      <sharedItems/>
    </cacheField>
    <cacheField name="Cost Center" numFmtId="0">
      <sharedItems containsSemiMixedTypes="0" containsString="0" containsNumber="1" containsInteger="1" minValue="1000" maxValue="6410"/>
    </cacheField>
    <cacheField name="Department" numFmtId="0">
      <sharedItems count="27">
        <s v="Счетоводство"/>
        <s v="Заваръчно"/>
        <s v="Преси"/>
        <s v="Монтаж"/>
        <s v="Механична обработка"/>
        <s v="Калкулация"/>
        <s v="ТРАНСПОРТ"/>
        <s v="Инструментален отдел"/>
        <s v="Склад"/>
        <s v="Поддръжка машини"/>
        <s v="Автоматизация"/>
        <s v="Развойна дейност"/>
        <s v="Осигуряване на качеството"/>
        <s v="Шприцоване"/>
        <s v="Управление на качеството"/>
        <s v="Управление ЧР"/>
        <s v="Управление на проекти"/>
        <s v="Производство"/>
        <s v="Спедиция"/>
        <s v="Заготовки за производство"/>
        <s v="Сгради"/>
        <s v="Покупки"/>
        <s v="Дизайн на инструменти"/>
        <s v="Продажби"/>
        <s v="Дизайн на автоматизация"/>
        <s v="Общи IT"/>
        <s v="Логистика" u="1"/>
      </sharedItems>
    </cacheField>
    <cacheField name="Base Salary (Gross)" numFmtId="0">
      <sharedItems containsSemiMixedTypes="0" containsString="0" containsNumber="1" minValue="155.94999999999999" maxValue="2965.5"/>
    </cacheField>
    <cacheField name="Professional experience (Gross)" numFmtId="2">
      <sharedItems containsSemiMixedTypes="0" containsString="0" containsNumber="1" minValue="0" maxValue="251.24904000000004"/>
    </cacheField>
    <cacheField name="Fixed Bonus (Gross)" numFmtId="2">
      <sharedItems containsSemiMixedTypes="0" containsString="0" containsNumber="1" minValue="0" maxValue="1910.7"/>
    </cacheField>
    <cacheField name="Food Vaucher" numFmtId="2">
      <sharedItems containsSemiMixedTypes="0" containsString="0" containsNumber="1" minValue="102.26" maxValue="102.26"/>
    </cacheField>
    <cacheField name="Total (Gross)" numFmtId="2">
      <sharedItems containsSemiMixedTypes="0" containsString="0" containsNumber="1" minValue="155.94999999999999" maxValue="4381.78"/>
    </cacheField>
    <cacheField name="Salary (netto)" numFmtId="2">
      <sharedItems containsSemiMixedTypes="0" containsString="0" containsNumber="1" minValue="140.35" maxValue="3681.71"/>
    </cacheField>
    <cacheField name="Total Monthly Salary (netto) include food vaucher" numFmtId="2">
      <sharedItems containsSemiMixedTypes="0" containsString="0" containsNumber="1" minValue="242.61" maxValue="3783.9700000000003"/>
    </cacheField>
    <cacheField name="Annual Salary (netto)" numFmtId="2">
      <sharedItems containsSemiMixedTypes="0" containsString="0" containsNumber="1" minValue="2911.32" maxValue="45407.64"/>
    </cacheField>
    <cacheField name="Month Employer Cost" numFmtId="2">
      <sharedItems containsSemiMixedTypes="0" containsString="0" containsNumber="1" minValue="258.20999999999998" maxValue="5343.7452359999997"/>
    </cacheField>
    <cacheField name="Annual Employer Cost" numFmtId="2">
      <sharedItems containsSemiMixedTypes="0" containsString="0" containsNumber="1" minValue="3098.5199999999995" maxValue="64124.942832000001"/>
    </cacheField>
    <cacheField name="% Increase" numFmtId="0">
      <sharedItems containsString="0" containsBlank="1" containsNumber="1" minValue="0.147890868162732" maxValue="0.147890868162732"/>
    </cacheField>
    <cacheField name="Reason" numFmtId="0">
      <sharedItems containsBlank="1"/>
    </cacheField>
    <cacheField name="Approved By" numFmtId="2">
      <sharedItems containsBlank="1"/>
    </cacheField>
    <cacheField name="Approval Date" numFmtId="14">
      <sharedItems containsNonDate="0" containsDate="1" containsString="0" containsBlank="1" minDate="2025-12-19T00:00:00" maxDate="2025-12-20T00:00:00"/>
    </cacheField>
    <cacheField name="Comment" numFmtId="0">
      <sharedItems containsBlank="1"/>
    </cacheField>
    <cacheField name="Months (Effective Date)" numFmtId="0" databaseField="0">
      <fieldGroup base="1">
        <rangePr groupBy="months" startDate="2025-04-01T00:00:00" endDate="2026-01-02T00:00:00"/>
        <groupItems count="14">
          <s v="&lt;1.4.2025"/>
          <s v="яну"/>
          <s v="фев"/>
          <s v="мар"/>
          <s v="апр"/>
          <s v="май"/>
          <s v="юни"/>
          <s v="юли"/>
          <s v="авг"/>
          <s v="сеп"/>
          <s v="окт"/>
          <s v="ное"/>
          <s v="дек"/>
          <s v="&gt;2.1.2026"/>
        </groupItems>
      </fieldGroup>
    </cacheField>
    <cacheField name="Quarters (Effective Date)" numFmtId="0" databaseField="0">
      <fieldGroup base="1">
        <rangePr groupBy="quarters" startDate="2025-04-01T00:00:00" endDate="2026-01-02T00:00:00"/>
        <groupItems count="6">
          <s v="&lt;1.4.2025"/>
          <s v="Qtr1"/>
          <s v="Qtr2"/>
          <s v="Qtr3"/>
          <s v="Qtr4"/>
          <s v="&gt;2.1.2026"/>
        </groupItems>
      </fieldGroup>
    </cacheField>
    <cacheField name="Years (Effective Date)" numFmtId="0" databaseField="0">
      <fieldGroup base="1">
        <rangePr groupBy="years" startDate="2025-04-01T00:00:00" endDate="2026-01-02T00:00:00"/>
        <groupItems count="4">
          <s v="&lt;1.4.2025"/>
          <s v="2025"/>
          <s v="2026"/>
          <s v="&gt;2.1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n v="144"/>
    <x v="0"/>
    <s v="АЛБЕНА ДИМИТРОВА ПЕТРОВА"/>
    <x v="0"/>
    <s v="Счетоводство"/>
    <n v="1431.62"/>
    <n v="206.15327999999997"/>
    <n v="357.9"/>
    <n v="102.26"/>
    <n v="1995.67328"/>
    <n v="1548.6424652800001"/>
    <n v="1650.9024652800001"/>
    <n v="19810.829583360002"/>
    <n v="2489.484377536"/>
    <n v="29873.812530431998"/>
    <m/>
    <m/>
    <m/>
    <m/>
  </r>
  <r>
    <n v="66"/>
    <x v="0"/>
    <s v="АНГЕЛ ДИМИТРОВ ДИМИТРОВ"/>
    <x v="1"/>
    <s v="Заваръчно"/>
    <n v="639.12"/>
    <n v="46.016640000000002"/>
    <n v="546.57000000000005"/>
    <n v="102.26"/>
    <n v="1231.7066400000001"/>
    <n v="955.80435264000016"/>
    <n v="1058.0643526400002"/>
    <n v="12696.772231680003"/>
    <n v="1575.6274827680002"/>
    <n v="18907.529793216003"/>
    <m/>
    <m/>
    <m/>
    <m/>
  </r>
  <r>
    <n v="748"/>
    <x v="0"/>
    <s v="АНДРЕЙ ТОДОРОВ СТРАТЕВ"/>
    <x v="2"/>
    <s v="Преси"/>
    <n v="675.01"/>
    <n v="0"/>
    <n v="412.2"/>
    <n v="102.26"/>
    <n v="1087.21"/>
    <n v="843.67496000000006"/>
    <n v="945.93496000000005"/>
    <n v="11351.219520000001"/>
    <n v="1402.780602"/>
    <n v="16833.367224000001"/>
    <m/>
    <m/>
    <m/>
    <m/>
  </r>
  <r>
    <n v="753"/>
    <x v="0"/>
    <s v="АННА ЛЮБЕНОВА УМУРСКА"/>
    <x v="3"/>
    <s v="Монтаж"/>
    <n v="737"/>
    <n v="0"/>
    <n v="123.84"/>
    <n v="102.26"/>
    <n v="860.84"/>
    <n v="668.01184000000001"/>
    <n v="770.27184"/>
    <n v="9243.2620800000004"/>
    <n v="1131.9968080000001"/>
    <n v="13583.961696000002"/>
    <m/>
    <m/>
    <m/>
    <m/>
  </r>
  <r>
    <n v="747"/>
    <x v="0"/>
    <s v="АНТОАНЕТА ЕЛИНОВА КАЛНИЦКА"/>
    <x v="3"/>
    <s v="Монтаж"/>
    <n v="639.12"/>
    <n v="0"/>
    <n v="85.67"/>
    <n v="102.26"/>
    <n v="724.79"/>
    <n v="562.43704000000002"/>
    <n v="664.69704000000002"/>
    <n v="7976.3644800000002"/>
    <n v="969.25379799999996"/>
    <n v="11631.045576"/>
    <m/>
    <m/>
    <m/>
    <m/>
  </r>
  <r>
    <n v="648"/>
    <x v="0"/>
    <s v="АНТОНИО ПЕТРОВ АЛЕКСАНДРОВ"/>
    <x v="4"/>
    <s v="Механична обработка"/>
    <n v="741.38"/>
    <n v="4.4482799999999996"/>
    <n v="378.87"/>
    <n v="102.26"/>
    <n v="1124.6982800000001"/>
    <n v="872.76586528000007"/>
    <n v="975.02586528000006"/>
    <n v="11700.31038336"/>
    <n v="1447.6240825360001"/>
    <n v="17371.488990432001"/>
    <m/>
    <m/>
    <m/>
    <m/>
  </r>
  <r>
    <n v="263"/>
    <x v="0"/>
    <s v="АСЯ МАРИНОВА ШИВАЧЕВА"/>
    <x v="5"/>
    <s v="Калкулация"/>
    <n v="945.89"/>
    <n v="90.805440000000004"/>
    <n v="561.4"/>
    <n v="102.26"/>
    <n v="1598.0954400000001"/>
    <n v="1240.1220614400002"/>
    <n v="1342.3820614400001"/>
    <n v="16108.584737280002"/>
    <n v="2013.901765328"/>
    <n v="24166.821183936001"/>
    <m/>
    <m/>
    <m/>
    <m/>
  </r>
  <r>
    <n v="719"/>
    <x v="0"/>
    <s v="АТАНАС ВАСИЛЕВ ЖЕКОВ"/>
    <x v="6"/>
    <s v="ТРАНСПОРТ"/>
    <n v="741.38"/>
    <n v="17.793119999999998"/>
    <n v="365.57"/>
    <n v="102.26"/>
    <n v="1124.7431200000001"/>
    <n v="872.80066112000009"/>
    <n v="975.06066112000008"/>
    <n v="11700.727933440001"/>
    <n v="1447.6777201440002"/>
    <n v="17372.132641728003"/>
    <m/>
    <m/>
    <m/>
    <m/>
  </r>
  <r>
    <n v="67"/>
    <x v="0"/>
    <s v="АТАНАС ГЕОРГИЕВ МИХАЙЛОВ"/>
    <x v="4"/>
    <s v="Механична обработка"/>
    <n v="986.8"/>
    <n v="71.049599999999998"/>
    <n v="277.63"/>
    <n v="102.26"/>
    <n v="1335.4796000000001"/>
    <n v="1036.3321696"/>
    <n v="1138.5921696"/>
    <n v="13663.1060352"/>
    <n v="1699.7606975200001"/>
    <n v="20397.128370240003"/>
    <m/>
    <m/>
    <m/>
    <m/>
  </r>
  <r>
    <n v="615"/>
    <x v="0"/>
    <s v="АТАНАС ДИМИТРОВ ВАСИЛЕВ"/>
    <x v="2"/>
    <s v="Преси"/>
    <n v="790.97"/>
    <n v="47.458199999999998"/>
    <n v="269.95999999999998"/>
    <n v="102.26"/>
    <n v="1108.3882000000001"/>
    <n v="860.10924320000015"/>
    <n v="962.36924320000014"/>
    <n v="11548.430918400001"/>
    <n v="1428.1139648400001"/>
    <n v="17137.36757808"/>
    <m/>
    <m/>
    <m/>
    <m/>
  </r>
  <r>
    <n v="465"/>
    <x v="0"/>
    <s v="АТАНАС ИВАНОВ ГОЛЕВСКИ"/>
    <x v="7"/>
    <s v="Инструментален отдел"/>
    <n v="940.78"/>
    <n v="152.40635999999998"/>
    <n v="175.5"/>
    <n v="102.26"/>
    <n v="1268.6863599999999"/>
    <n v="984.50061535999998"/>
    <n v="1086.76061536"/>
    <n v="13041.12738432"/>
    <n v="1619.8626238319998"/>
    <n v="19438.351485984"/>
    <m/>
    <m/>
    <m/>
    <m/>
  </r>
  <r>
    <n v="608"/>
    <x v="0"/>
    <s v="АТАНАСКА ГЕОРГИЕВА ШОПСКА"/>
    <x v="3"/>
    <s v="Монтаж"/>
    <n v="639.12"/>
    <n v="26.843040000000002"/>
    <n v="71.86"/>
    <n v="102.26"/>
    <n v="737.82303999999999"/>
    <n v="572.55067903999998"/>
    <n v="674.81067903999997"/>
    <n v="8097.7281484799996"/>
    <n v="984.84392044800006"/>
    <n v="11818.127045376001"/>
    <m/>
    <m/>
    <m/>
    <m/>
  </r>
  <r>
    <n v="55"/>
    <x v="0"/>
    <s v="БИНКА ГЕОРГИЕВА ДЖОГЛЕВА"/>
    <x v="2"/>
    <s v="Преси"/>
    <n v="674.91"/>
    <n v="48.593519999999998"/>
    <n v="202.21"/>
    <n v="102.26"/>
    <n v="925.71352000000002"/>
    <n v="718.35369151999998"/>
    <n v="820.61369151999997"/>
    <n v="9847.3642982399997"/>
    <n v="1209.598512624"/>
    <n v="14515.182151487999"/>
    <m/>
    <m/>
    <m/>
    <m/>
  </r>
  <r>
    <n v="6"/>
    <x v="0"/>
    <s v="БИСТРА ГЕНЧЕВА ТИТЕВА"/>
    <x v="3"/>
    <s v="Монтаж"/>
    <n v="639.12"/>
    <n v="76.694400000000002"/>
    <n v="88.25"/>
    <n v="102.26"/>
    <n v="804.06439999999998"/>
    <n v="623.95397439999999"/>
    <n v="726.21397439999998"/>
    <n v="8714.5676927999993"/>
    <n v="1064.08183528"/>
    <n v="12768.98202336"/>
    <m/>
    <m/>
    <m/>
    <m/>
  </r>
  <r>
    <n v="697"/>
    <x v="0"/>
    <s v="БОЯН НИКОДИМОВ ПЕТРОВ"/>
    <x v="8"/>
    <s v="Склад"/>
    <n v="792.51"/>
    <n v="14.265180000000001"/>
    <n v="323.14"/>
    <n v="102.26"/>
    <n v="1129.91518"/>
    <n v="876.81417968000005"/>
    <n v="979.07417968000004"/>
    <n v="11748.89015616"/>
    <n v="1453.8645383160001"/>
    <n v="17446.374459792001"/>
    <m/>
    <m/>
    <m/>
    <m/>
  </r>
  <r>
    <n v="736"/>
    <x v="0"/>
    <s v="ВАЛЕНТИН ЙОРДАНОВ ДРУНДЕВ"/>
    <x v="4"/>
    <s v="Механична обработка"/>
    <n v="155.94999999999999"/>
    <n v="0"/>
    <n v="0"/>
    <n v="102.26"/>
    <n v="155.94999999999999"/>
    <n v="140.35"/>
    <n v="242.61"/>
    <n v="2911.32"/>
    <n v="258.20999999999998"/>
    <n v="3098.5199999999995"/>
    <m/>
    <m/>
    <m/>
    <m/>
  </r>
  <r>
    <n v="713"/>
    <x v="0"/>
    <s v="ВЕНЦИСЛАВ ПЕТРОВ ЧАУШЕВ"/>
    <x v="7"/>
    <s v="Инструментален отдел"/>
    <n v="935.67"/>
    <n v="39.298139999999997"/>
    <n v="282.74"/>
    <n v="102.26"/>
    <n v="1257.70814"/>
    <n v="975.98151664"/>
    <n v="1078.2415166400001"/>
    <n v="12938.898199680001"/>
    <n v="1606.730477068"/>
    <n v="19280.765724815999"/>
    <m/>
    <m/>
    <m/>
    <m/>
  </r>
  <r>
    <n v="660"/>
    <x v="0"/>
    <s v="ВЕСЕЛИН ИВАНОВ ЦВЕТКОВ"/>
    <x v="9"/>
    <s v="Поддръжка машини"/>
    <n v="1135.07"/>
    <n v="115.77713999999997"/>
    <n v="285.3"/>
    <n v="102.26"/>
    <n v="1536.1471399999998"/>
    <n v="1192.0501806399998"/>
    <n v="1294.3101806399998"/>
    <n v="15531.722167679996"/>
    <n v="1939.7992088679998"/>
    <n v="23277.590506415996"/>
    <m/>
    <m/>
    <m/>
    <m/>
  </r>
  <r>
    <n v="52"/>
    <x v="0"/>
    <s v="ВЕСЕЛИН ХРИСТОВ СТОЙЧЕВ"/>
    <x v="7"/>
    <s v="Инструментален отдел"/>
    <n v="915.22"/>
    <n v="131.79168000000001"/>
    <n v="1068.5999999999999"/>
    <n v="102.26"/>
    <n v="2115.61168"/>
    <n v="1642.16"/>
    <n v="1744.42"/>
    <n v="20933.04"/>
    <n v="2632.9546916159998"/>
    <n v="31595.456299391997"/>
    <m/>
    <m/>
    <m/>
    <m/>
  </r>
  <r>
    <n v="673"/>
    <x v="0"/>
    <s v="ВИЛИЧКА ТОДОРОВА БАЙРЕВА"/>
    <x v="3"/>
    <s v="Монтаж"/>
    <n v="737"/>
    <n v="8.8439999999999994"/>
    <n v="242.51"/>
    <n v="102.26"/>
    <n v="988.35400000000004"/>
    <n v="766.96270400000003"/>
    <n v="869.22270400000002"/>
    <n v="10430.672448000001"/>
    <n v="1284.5290548"/>
    <n v="15414.3486576"/>
    <m/>
    <m/>
    <m/>
    <m/>
  </r>
  <r>
    <n v="580"/>
    <x v="0"/>
    <s v="ГАЛИН ГЕОРГИЕВ ХРИСТОВ"/>
    <x v="10"/>
    <s v="Автоматизация"/>
    <n v="1037.93"/>
    <n v="56.048220000000008"/>
    <n v="777.16"/>
    <n v="102.26"/>
    <n v="1871.1382199999998"/>
    <n v="1452.0032587199998"/>
    <n v="1554.2632587199998"/>
    <n v="18651.159104639999"/>
    <n v="2340.5155387639998"/>
    <n v="28086.186465167997"/>
    <m/>
    <m/>
    <m/>
    <m/>
  </r>
  <r>
    <n v="682"/>
    <x v="0"/>
    <s v="ГАЛИНА СТЕФАНОВА ТОШЕВА"/>
    <x v="3"/>
    <s v="Монтаж"/>
    <n v="639.12"/>
    <n v="65.190239999999989"/>
    <n v="126.98"/>
    <n v="102.26"/>
    <n v="831.29024000000004"/>
    <n v="645.08122624000009"/>
    <n v="747.34122624000008"/>
    <n v="8968.0947148800005"/>
    <n v="1096.6493850880001"/>
    <n v="13159.792621056002"/>
    <m/>
    <m/>
    <m/>
    <m/>
  </r>
  <r>
    <n v="566"/>
    <x v="0"/>
    <s v="ГЕНКА СТОЯНОВА ЯНКОЛОВА"/>
    <x v="3"/>
    <s v="Монтаж"/>
    <n v="639.12"/>
    <n v="53.686080000000004"/>
    <n v="58.25"/>
    <n v="102.26"/>
    <n v="751.05608000000007"/>
    <n v="582.81951808000008"/>
    <n v="685.07951808000007"/>
    <n v="8220.9542169600008"/>
    <n v="1000.673282896"/>
    <n v="12008.079394752"/>
    <m/>
    <m/>
    <m/>
    <m/>
  </r>
  <r>
    <n v="708"/>
    <x v="0"/>
    <s v="ГЕОРГИ АЛЕКСАНДРОВ АДОВ"/>
    <x v="10"/>
    <s v="Автоматизация"/>
    <n v="1237.33"/>
    <n v="74.239800000000002"/>
    <n v="343.59"/>
    <n v="102.26"/>
    <n v="1655.1597999999999"/>
    <n v="1284.4040047999999"/>
    <n v="1386.6640047999999"/>
    <n v="16639.968057599999"/>
    <n v="2082.16215276"/>
    <n v="24985.94583312"/>
    <m/>
    <m/>
    <m/>
    <m/>
  </r>
  <r>
    <n v="368"/>
    <x v="0"/>
    <s v="ГЕОРГИ АТАНАСОВ МИХАЙЛОВ"/>
    <x v="4"/>
    <s v="Механична обработка"/>
    <n v="741.38"/>
    <n v="40.034520000000001"/>
    <n v="209.63"/>
    <n v="102.26"/>
    <n v="991.04452000000003"/>
    <n v="769.05054752000001"/>
    <n v="871.31054752"/>
    <n v="10455.72657024"/>
    <n v="1287.747454824"/>
    <n v="15452.969457888001"/>
    <m/>
    <m/>
    <m/>
    <m/>
  </r>
  <r>
    <n v="239"/>
    <x v="0"/>
    <s v="ГЕОРГИ БОЖИЛОВ БАЛДИКОВ"/>
    <x v="1"/>
    <s v="Заваръчно"/>
    <n v="838.52"/>
    <n v="60.373440000000002"/>
    <n v="248.67"/>
    <n v="102.26"/>
    <n v="1147.5634399999999"/>
    <n v="890.5092294399999"/>
    <n v="992.76922943999989"/>
    <n v="11913.230753279999"/>
    <n v="1474.9753869279998"/>
    <n v="17699.704643136"/>
    <m/>
    <m/>
    <m/>
    <m/>
  </r>
  <r>
    <n v="741"/>
    <x v="0"/>
    <s v="ГЕОРГИ ДЕЛОВ ГЕОРГИЕВ"/>
    <x v="3"/>
    <s v="Монтаж"/>
    <n v="690.25"/>
    <n v="0"/>
    <n v="232.64"/>
    <n v="102.26"/>
    <n v="922.89"/>
    <n v="716.16264000000001"/>
    <n v="818.42264"/>
    <n v="9821.0716800000009"/>
    <n v="1206.221018"/>
    <n v="14474.652215999999"/>
    <m/>
    <m/>
    <m/>
    <m/>
  </r>
  <r>
    <n v="738"/>
    <x v="0"/>
    <s v="ГЕОРГИ ИВАНОВ ГЕОРГИЕВ"/>
    <x v="4"/>
    <s v="Механична обработка"/>
    <n v="792.51"/>
    <n v="57.060720000000003"/>
    <n v="205.03"/>
    <n v="102.26"/>
    <n v="1054.6007199999999"/>
    <n v="818.37015871999995"/>
    <n v="920.63015871999994"/>
    <n v="11047.561904639999"/>
    <n v="1363.7733812639999"/>
    <n v="16365.280575167999"/>
    <m/>
    <m/>
    <m/>
    <m/>
  </r>
  <r>
    <n v="726"/>
    <x v="0"/>
    <s v="ГЕОРГИ ИВАНОВ СТОЯНОВ"/>
    <x v="3"/>
    <s v="Монтаж"/>
    <n v="741.38"/>
    <n v="0"/>
    <n v="247.47"/>
    <n v="102.26"/>
    <n v="988.85"/>
    <n v="767.34760000000006"/>
    <n v="869.60760000000005"/>
    <n v="10435.2912"/>
    <n v="1285.12237"/>
    <n v="15421.468440000001"/>
    <m/>
    <m/>
    <m/>
    <m/>
  </r>
  <r>
    <n v="231"/>
    <x v="0"/>
    <s v="ГЕОРГИ ИЛИЕВ АТАНАСОВ"/>
    <x v="11"/>
    <s v="Развойна дейност"/>
    <n v="690.25"/>
    <n v="49.698"/>
    <n v="1208.18"/>
    <n v="102.26"/>
    <n v="1948.1280000000002"/>
    <n v="1511.7473280000002"/>
    <n v="1614.0073280000001"/>
    <n v="19368.087936000004"/>
    <n v="2432.6107136000001"/>
    <n v="29191.328563200001"/>
    <m/>
    <m/>
    <m/>
    <m/>
  </r>
  <r>
    <n v="610"/>
    <x v="0"/>
    <s v="ГЕОРГИ НИКОЛОВ ВЪЛЧЕВ"/>
    <x v="4"/>
    <s v="Механична обработка"/>
    <n v="986.8"/>
    <n v="112.49520000000001"/>
    <n v="296.55"/>
    <n v="102.26"/>
    <n v="1395.8452"/>
    <n v="1083.1758752000001"/>
    <n v="1185.4358752000001"/>
    <n v="14225.230502400002"/>
    <n v="1771.9700282399999"/>
    <n v="21263.640338879999"/>
    <m/>
    <m/>
    <m/>
    <m/>
  </r>
  <r>
    <n v="751"/>
    <x v="0"/>
    <s v="ГЕОРГИ ПАВЛОВ ФАКЛИЕВ"/>
    <x v="4"/>
    <s v="Механична обработка"/>
    <n v="987"/>
    <n v="0"/>
    <n v="265.68"/>
    <n v="102.26"/>
    <n v="1252.68"/>
    <n v="972.07968000000005"/>
    <n v="1074.33968"/>
    <n v="12892.076160000001"/>
    <n v="1600.7158160000001"/>
    <n v="19208.589792000002"/>
    <m/>
    <m/>
    <m/>
    <m/>
  </r>
  <r>
    <n v="623"/>
    <x v="0"/>
    <s v="ГЕОРГИ СТАНЧЕВ ПУЛЕВ"/>
    <x v="7"/>
    <s v="Инструментален отдел"/>
    <n v="715.81"/>
    <n v="12.884579999999998"/>
    <n v="856.93"/>
    <n v="102.26"/>
    <n v="1585.6245799999999"/>
    <n v="1230.4446740799999"/>
    <n v="1332.7046740799999"/>
    <n v="15992.45608896"/>
    <n v="1998.9841225959999"/>
    <n v="23987.809471151999"/>
    <m/>
    <m/>
    <m/>
    <m/>
  </r>
  <r>
    <n v="745"/>
    <x v="0"/>
    <s v="ГЕОРГИ СТОЯНОВ ХРИСТАКОВ"/>
    <x v="4"/>
    <s v="Механична обработка"/>
    <n v="1083.94"/>
    <n v="32.5182"/>
    <n v="333.36"/>
    <n v="102.26"/>
    <n v="1449.8182000000002"/>
    <n v="1125.0589232000002"/>
    <n v="1227.3189232000002"/>
    <n v="14727.827078400001"/>
    <n v="1836.5325308400002"/>
    <n v="22038.39037008"/>
    <m/>
    <m/>
    <m/>
    <m/>
  </r>
  <r>
    <n v="756"/>
    <x v="0"/>
    <s v="ГЕРГАНА СТОЕВА КЛЕЧКОВА"/>
    <x v="3"/>
    <s v="Монтаж"/>
    <n v="640"/>
    <n v="0"/>
    <n v="85.53"/>
    <n v="102.26"/>
    <n v="725.53"/>
    <n v="563.01127999999994"/>
    <n v="665.27127999999993"/>
    <n v="7983.2553599999992"/>
    <n v="970.13898599999993"/>
    <n v="11641.667831999999"/>
    <m/>
    <m/>
    <m/>
    <m/>
  </r>
  <r>
    <n v="404"/>
    <x v="0"/>
    <s v="ГЪЛЪБИНА НИКОЛОВА ПАЙТАКОВА"/>
    <x v="3"/>
    <s v="Монтаж"/>
    <n v="639.12"/>
    <n v="30.677759999999999"/>
    <n v="88.25"/>
    <n v="102.26"/>
    <n v="758.04776000000004"/>
    <n v="588.24506176"/>
    <n v="690.50506175999999"/>
    <n v="8286.0607411199999"/>
    <n v="1009.0367305120001"/>
    <n v="12108.440766144002"/>
    <m/>
    <m/>
    <m/>
    <m/>
  </r>
  <r>
    <n v="277"/>
    <x v="0"/>
    <s v="ДАНИЕЛ ТОДОРОВ ТОДОРОВ"/>
    <x v="2"/>
    <s v="Преси"/>
    <n v="664.68"/>
    <n v="43.86887999999999"/>
    <n v="887.6"/>
    <n v="102.26"/>
    <n v="1596.14888"/>
    <n v="1238.6115308799999"/>
    <n v="1340.8715308799999"/>
    <n v="16090.458370559998"/>
    <n v="2011.5732902559998"/>
    <n v="24138.879483072"/>
    <m/>
    <m/>
    <m/>
    <m/>
  </r>
  <r>
    <n v="644"/>
    <x v="0"/>
    <s v="ДЕНИЦА КРАСИМИРОВА ВЛАШКА"/>
    <x v="12"/>
    <s v="Осигуряване на качеството"/>
    <n v="971.46"/>
    <n v="69.945120000000003"/>
    <n v="0"/>
    <n v="102.26"/>
    <n v="1041.4051200000001"/>
    <n v="808.13037312000017"/>
    <n v="910.39037312000016"/>
    <n v="10924.684477440002"/>
    <n v="1347.9888045440002"/>
    <n v="16175.865654528003"/>
    <m/>
    <m/>
    <m/>
    <m/>
  </r>
  <r>
    <n v="472"/>
    <x v="0"/>
    <s v="ДЕНЮ ЦВЯТКОВ ЦВЕТКОВ"/>
    <x v="7"/>
    <s v="Инструментален отдел"/>
    <n v="715.81"/>
    <n v="42.948599999999999"/>
    <n v="414.15"/>
    <n v="102.26"/>
    <n v="1172.9085999999998"/>
    <n v="910.17707359999986"/>
    <n v="1012.4370735999998"/>
    <n v="12149.244883199997"/>
    <n v="1505.2932673199998"/>
    <n v="18063.51920784"/>
    <m/>
    <m/>
    <m/>
    <m/>
  </r>
  <r>
    <n v="542"/>
    <x v="0"/>
    <s v="ДИАНА АЛЬОШЕВА ДАВИДОВА"/>
    <x v="4"/>
    <s v="Механична обработка"/>
    <n v="790.97"/>
    <n v="23.729099999999999"/>
    <n v="381.42"/>
    <n v="102.26"/>
    <n v="1196.1191000000001"/>
    <n v="928.18842160000008"/>
    <n v="1030.4484216000001"/>
    <n v="12365.381059200001"/>
    <n v="1533.0576674200001"/>
    <n v="18396.692009040002"/>
    <m/>
    <m/>
    <m/>
    <m/>
  </r>
  <r>
    <n v="494"/>
    <x v="0"/>
    <s v="ДИАНА БОРИСОВА МИЦОВА"/>
    <x v="12"/>
    <s v="Осигуряване на качеството"/>
    <n v="792.51"/>
    <n v="42.795540000000003"/>
    <n v="499.53"/>
    <n v="102.26"/>
    <n v="1334.83554"/>
    <n v="1035.83237904"/>
    <n v="1138.09237904"/>
    <n v="13657.108548479999"/>
    <n v="1698.990272948"/>
    <n v="20387.883275376"/>
    <m/>
    <m/>
    <m/>
    <m/>
  </r>
  <r>
    <n v="677"/>
    <x v="0"/>
    <s v="ДИМА АТАНАСОВА ГЪЛЪБОВА"/>
    <x v="13"/>
    <s v="Шприцоване"/>
    <n v="639.12"/>
    <n v="80.529120000000006"/>
    <n v="280.19"/>
    <n v="102.26"/>
    <n v="999.83912000000009"/>
    <n v="775.87515712000004"/>
    <n v="878.13515712000003"/>
    <n v="10537.621885439999"/>
    <n v="1298.2675553440001"/>
    <n v="15579.210664128001"/>
    <m/>
    <m/>
    <m/>
    <m/>
  </r>
  <r>
    <n v="665"/>
    <x v="0"/>
    <s v="ДИМИТЪР АЛЕКСОВ МИЛЕВ"/>
    <x v="14"/>
    <s v="Монтаж"/>
    <n v="1027.7"/>
    <n v="12.3324"/>
    <n v="332.34"/>
    <n v="102.26"/>
    <n v="1372.3724"/>
    <n v="1064.9609823999999"/>
    <n v="1167.2209823999999"/>
    <n v="14006.651788799998"/>
    <n v="1743.89186488"/>
    <n v="20926.702378559999"/>
    <m/>
    <m/>
    <m/>
    <m/>
  </r>
  <r>
    <n v="704"/>
    <x v="0"/>
    <s v="ДИМИТЪР ГЕОРГИЕВ ПЕРНИЧЕВ"/>
    <x v="4"/>
    <s v="Механична обработка"/>
    <n v="792.51"/>
    <n v="4.7550599999999994"/>
    <n v="393.18"/>
    <n v="102.26"/>
    <n v="1190.44506"/>
    <n v="923.78536656000006"/>
    <n v="1026.04536656"/>
    <n v="12312.544398720001"/>
    <n v="1526.270380772"/>
    <n v="18315.244569263999"/>
    <m/>
    <m/>
    <m/>
    <m/>
  </r>
  <r>
    <n v="703"/>
    <x v="0"/>
    <s v="ДИМИТЪР ИВАНОВ ВАСИЛЕВ"/>
    <x v="15"/>
    <s v="Управление на качеството"/>
    <n v="2326.38"/>
    <n v="251.24904000000004"/>
    <n v="570.09"/>
    <n v="102.26"/>
    <n v="3147.7190400000004"/>
    <n v="2571.06"/>
    <n v="2673.32"/>
    <n v="32079.840000000004"/>
    <n v="3867.5615156480007"/>
    <n v="46410.738187776005"/>
    <m/>
    <m/>
    <m/>
    <m/>
  </r>
  <r>
    <n v="650"/>
    <x v="0"/>
    <s v="ДИМИТЪР НИКОЛАЕВ ПИСОВ"/>
    <x v="2"/>
    <s v="Преси"/>
    <n v="674.91"/>
    <n v="12.14838"/>
    <n v="609.95000000000005"/>
    <n v="102.26"/>
    <n v="1297.00838"/>
    <n v="1006.4785028800001"/>
    <n v="1108.7385028800002"/>
    <n v="13304.862034560003"/>
    <n v="1653.741424156"/>
    <n v="19844.897089872"/>
    <m/>
    <m/>
    <m/>
    <m/>
  </r>
  <r>
    <n v="46"/>
    <x v="0"/>
    <s v="ДИМИТЪР ПРОКОПИЕВ ДИМИТРОВ"/>
    <x v="9"/>
    <s v="Поддръжка машини"/>
    <n v="641.16999999999996"/>
    <n v="107.71655999999999"/>
    <n v="567.02"/>
    <n v="102.26"/>
    <n v="1315.9065599999999"/>
    <n v="1021.1434905599999"/>
    <n v="1123.4034905599999"/>
    <n v="13480.841886719998"/>
    <n v="1676.3474270719998"/>
    <n v="20116.169124863998"/>
    <m/>
    <m/>
    <m/>
    <m/>
  </r>
  <r>
    <n v="327"/>
    <x v="0"/>
    <s v="ДИМИТЪР ЯСЕНОВ МЛАДЕНОВ"/>
    <x v="7"/>
    <s v="Инструментален отдел"/>
    <n v="715.81"/>
    <n v="42.948599999999999"/>
    <n v="1048.1500000000001"/>
    <n v="102.26"/>
    <n v="1806.9086"/>
    <n v="1402.1610736"/>
    <n v="1504.4210736"/>
    <n v="18053.052883199998"/>
    <n v="2263.6840673199999"/>
    <n v="27164.208807839997"/>
    <m/>
    <m/>
    <m/>
    <m/>
  </r>
  <r>
    <n v="742"/>
    <x v="0"/>
    <s v="ДОНКА ПЕТРОВА КРЪСТАНОВА"/>
    <x v="16"/>
    <s v="Управление ЧР"/>
    <n v="1175.98"/>
    <n v="35.279400000000003"/>
    <n v="370.18"/>
    <n v="102.26"/>
    <n v="1581.4394"/>
    <n v="1227.1969744"/>
    <n v="1329.4569744"/>
    <n v="15953.4836928"/>
    <n v="1993.9778102800001"/>
    <n v="23927.733723360001"/>
    <m/>
    <m/>
    <m/>
    <m/>
  </r>
  <r>
    <n v="737"/>
    <x v="0"/>
    <s v="ЕВГЕНИ ИВАНОВ ДИМОВ"/>
    <x v="4"/>
    <s v="Механична обработка"/>
    <n v="155.94999999999999"/>
    <n v="0"/>
    <n v="0"/>
    <n v="102.26"/>
    <n v="155.94999999999999"/>
    <n v="140.35"/>
    <n v="242.61"/>
    <n v="2911.32"/>
    <n v="258.20999999999998"/>
    <n v="3098.5199999999995"/>
    <m/>
    <m/>
    <m/>
    <m/>
  </r>
  <r>
    <n v="275"/>
    <x v="0"/>
    <s v="ЕЛЕНА БЛАГОЕВА СТЕФАНОВА"/>
    <x v="3"/>
    <s v="Монтаж"/>
    <n v="639.12"/>
    <n v="42.181919999999998"/>
    <n v="88.25"/>
    <n v="102.26"/>
    <n v="769.55192"/>
    <n v="597.17228992000003"/>
    <n v="699.43228992000002"/>
    <n v="8393.1874790399997"/>
    <n v="1022.798006704"/>
    <n v="12273.576080448001"/>
    <m/>
    <m/>
    <m/>
    <m/>
  </r>
  <r>
    <n v="393"/>
    <x v="0"/>
    <s v="ЕМИЛ ГЕОРГИЕВ ЧОРБАДЖИЙСКИ"/>
    <x v="7"/>
    <s v="Инструментален отдел"/>
    <n v="915.22"/>
    <n v="49.421880000000002"/>
    <n v="584.91999999999996"/>
    <n v="102.26"/>
    <n v="1549.56188"/>
    <n v="1202.46001888"/>
    <n v="1304.72001888"/>
    <n v="15656.640226560001"/>
    <n v="1955.845920856"/>
    <n v="23470.151050272001"/>
    <m/>
    <m/>
    <m/>
    <m/>
  </r>
  <r>
    <n v="711"/>
    <x v="0"/>
    <s v="ЖЮЛИЕН РОЛАН-АН РИШЬО"/>
    <x v="17"/>
    <s v="Управление на проекти"/>
    <n v="2965.5"/>
    <n v="177.93"/>
    <n v="1238.3499999999999"/>
    <n v="102.26"/>
    <n v="4381.78"/>
    <n v="3681.71"/>
    <n v="3783.9700000000003"/>
    <n v="45407.64"/>
    <n v="5343.7452359999997"/>
    <n v="64124.942832000001"/>
    <m/>
    <m/>
    <m/>
    <m/>
  </r>
  <r>
    <n v="282"/>
    <x v="0"/>
    <s v="ЗАПРЯН РАНГЕЛОВ ТОНЕВ"/>
    <x v="4"/>
    <s v="Механична обработка"/>
    <n v="986.8"/>
    <n v="65.128799999999998"/>
    <n v="605.37"/>
    <n v="102.26"/>
    <n v="1657.2988"/>
    <n v="1286.0638688000001"/>
    <n v="1388.3238688000001"/>
    <n v="16659.886425600002"/>
    <n v="2084.72082456"/>
    <n v="25016.649894720002"/>
    <m/>
    <m/>
    <m/>
    <m/>
  </r>
  <r>
    <n v="692"/>
    <x v="0"/>
    <s v="ЗЛАТОМИР ПЛАМЕНОВ ГЕОРГИЕВ"/>
    <x v="10"/>
    <s v="Автоматизация"/>
    <n v="1523.65"/>
    <n v="82.277100000000004"/>
    <n v="423.86"/>
    <n v="102.26"/>
    <n v="2029.7871"/>
    <n v="1575.1147896"/>
    <n v="1677.3747896"/>
    <n v="20128.497475199998"/>
    <n v="2530.2913290199999"/>
    <n v="30363.495948240001"/>
    <m/>
    <m/>
    <m/>
    <m/>
  </r>
  <r>
    <n v="172"/>
    <x v="0"/>
    <s v="ИВАЙЛО НЕНКОВ НЕНОВ"/>
    <x v="18"/>
    <s v="Производство"/>
    <n v="2096.3000000000002"/>
    <n v="176.08920000000001"/>
    <n v="478.57"/>
    <n v="102.26"/>
    <n v="2750.9592000000002"/>
    <n v="2213.9699999999998"/>
    <n v="2316.23"/>
    <n v="27794.760000000002"/>
    <n v="3392.9573950400004"/>
    <n v="40715.488740480003"/>
    <m/>
    <m/>
    <m/>
    <m/>
  </r>
  <r>
    <n v="658"/>
    <x v="0"/>
    <s v="ИВАЙЛО ТИХОМИРОВ БОНДЖЕВ"/>
    <x v="19"/>
    <s v="Спедиция"/>
    <n v="1227.1099999999999"/>
    <n v="51.538620000000002"/>
    <n v="522.54"/>
    <n v="102.26"/>
    <n v="1801.1886199999999"/>
    <n v="1397.7223691199999"/>
    <n v="1499.9823691199999"/>
    <n v="17999.788429439999"/>
    <n v="2256.8418272439999"/>
    <n v="27082.101926928"/>
    <m/>
    <m/>
    <m/>
    <m/>
  </r>
  <r>
    <n v="228"/>
    <x v="0"/>
    <s v="ИВАН БОЖИЛОВ БАЛДИКОВ"/>
    <x v="20"/>
    <s v="Заготовки за производство"/>
    <n v="674.91"/>
    <n v="48.593519999999998"/>
    <n v="453.17"/>
    <n v="102.26"/>
    <n v="1176.6735200000001"/>
    <n v="913.09865152000009"/>
    <n v="1015.3586515200001"/>
    <n v="12184.303818240001"/>
    <n v="1509.7968646240001"/>
    <n v="18117.562375488"/>
    <m/>
    <m/>
    <m/>
    <m/>
  </r>
  <r>
    <n v="669"/>
    <x v="0"/>
    <s v="ИВАН ВАСКОВ ДИМИТРОВ"/>
    <x v="4"/>
    <s v="Механична обработка"/>
    <n v="790.97"/>
    <n v="9.4916400000000003"/>
    <n v="263.83"/>
    <n v="102.26"/>
    <n v="1064.2916399999999"/>
    <n v="825.89031263999993"/>
    <n v="928.15031263999992"/>
    <n v="11137.80375168"/>
    <n v="1375.3656597679999"/>
    <n v="16504.387917215998"/>
    <m/>
    <m/>
    <m/>
    <m/>
  </r>
  <r>
    <n v="633"/>
    <x v="0"/>
    <s v="ИВАН СТАНЧЕВ ВАРДАЖИЕВ"/>
    <x v="18"/>
    <s v="Производство"/>
    <n v="2224.12"/>
    <n v="106.75776"/>
    <n v="1274.1400000000001"/>
    <n v="102.26"/>
    <n v="3605.0177599999997"/>
    <n v="2982.63"/>
    <n v="3084.8900000000003"/>
    <n v="37018.680000000008"/>
    <n v="4414.5822445119993"/>
    <n v="52974.986934143992"/>
    <m/>
    <m/>
    <m/>
    <m/>
  </r>
  <r>
    <n v="244"/>
    <x v="0"/>
    <s v="ИВАН СТОЯНОВ ПАЙТАКОВ"/>
    <x v="21"/>
    <s v="Сгради"/>
    <n v="741.38"/>
    <n v="22.241399999999999"/>
    <n v="245.42"/>
    <n v="102.26"/>
    <n v="1009.0414"/>
    <n v="783.01612639999996"/>
    <n v="885.27612639999995"/>
    <n v="10623.313516799999"/>
    <n v="1309.27532268"/>
    <n v="15711.303872160001"/>
    <m/>
    <m/>
    <m/>
    <m/>
  </r>
  <r>
    <n v="632"/>
    <x v="0"/>
    <s v="ИВАНКА АТАНАСОВА ПАНОВА"/>
    <x v="3"/>
    <s v="Монтаж"/>
    <n v="639.12"/>
    <n v="42.181919999999998"/>
    <n v="57.57"/>
    <n v="102.26"/>
    <n v="738.87192000000005"/>
    <n v="573.36460992000002"/>
    <n v="675.62460992000001"/>
    <n v="8107.4953190400001"/>
    <n v="986.09859070400012"/>
    <n v="11833.183088448"/>
    <m/>
    <m/>
    <m/>
    <m/>
  </r>
  <r>
    <n v="508"/>
    <x v="0"/>
    <s v="ИВАНКА НЕДЕЛЬОВА ИВАНЧЕВА"/>
    <x v="3"/>
    <s v="Монтаж"/>
    <n v="639.12"/>
    <n v="88.198560000000001"/>
    <n v="0"/>
    <n v="102.26"/>
    <n v="727.31856000000005"/>
    <n v="564.39920256000005"/>
    <n v="666.65920256000004"/>
    <n v="7999.9104307200005"/>
    <n v="972.27846147200012"/>
    <n v="11667.341537664"/>
    <m/>
    <m/>
    <m/>
    <m/>
  </r>
  <r>
    <n v="752"/>
    <x v="0"/>
    <s v="ИЛИЯН КОСТАДИНОВ ЛОВЧАЛИЕВ"/>
    <x v="4"/>
    <s v="Механична обработка"/>
    <n v="795"/>
    <n v="4.7699999999999996"/>
    <n v="320.39999999999998"/>
    <n v="102.26"/>
    <n v="1120.17"/>
    <n v="869.25192000000004"/>
    <n v="971.51192000000003"/>
    <n v="11658.143040000001"/>
    <n v="1442.2073540000001"/>
    <n v="17306.488248000001"/>
    <m/>
    <m/>
    <m/>
    <m/>
  </r>
  <r>
    <n v="216"/>
    <x v="0"/>
    <s v="ЙОНАТАН ЙЕЖИ СТОЯЛОВСКИ"/>
    <x v="8"/>
    <s v="Склад"/>
    <n v="639.12"/>
    <n v="46.016639999999995"/>
    <n v="411.59"/>
    <n v="102.26"/>
    <n v="1096.7266399999999"/>
    <n v="851.05987263999987"/>
    <n v="953.31987263999986"/>
    <n v="11439.838471679999"/>
    <n v="1414.1644067679999"/>
    <n v="16969.972881215999"/>
    <m/>
    <m/>
    <m/>
    <m/>
  </r>
  <r>
    <n v="643"/>
    <x v="0"/>
    <s v="ЙОРДАН ПЕЕВ ЙОРДАНОВ"/>
    <x v="21"/>
    <s v="Сгради"/>
    <n v="664.68"/>
    <n v="31.904639999999993"/>
    <n v="197"/>
    <n v="102.26"/>
    <n v="893.58463999999992"/>
    <n v="693.42168063999998"/>
    <n v="795.68168063999997"/>
    <n v="9548.1801676799987"/>
    <n v="1171.1659463679998"/>
    <n v="14053.991356415998"/>
    <m/>
    <m/>
    <m/>
    <m/>
  </r>
  <r>
    <n v="754"/>
    <x v="0"/>
    <s v="ЙОРДАНКА БЛАГОВА ЗЛАТИНОВА"/>
    <x v="3"/>
    <s v="Монтаж"/>
    <n v="640"/>
    <n v="0"/>
    <n v="85.53"/>
    <n v="102.26"/>
    <n v="725.53"/>
    <n v="563.01127999999994"/>
    <n v="665.27127999999993"/>
    <n v="7983.2553599999992"/>
    <n v="970.13898599999993"/>
    <n v="11641.667831999999"/>
    <m/>
    <m/>
    <m/>
    <m/>
  </r>
  <r>
    <n v="490"/>
    <x v="0"/>
    <s v="ЙОРДАНКА ГЕОРГИЕВА ПОПОВА"/>
    <x v="3"/>
    <s v="Монтаж"/>
    <n v="639.12"/>
    <n v="23.008319999999998"/>
    <n v="184.5"/>
    <n v="102.26"/>
    <n v="846.62832000000003"/>
    <n v="656.98357632"/>
    <n v="759.24357631999999"/>
    <n v="9110.9229158399994"/>
    <n v="1114.9967963839999"/>
    <n v="13379.961556607999"/>
    <m/>
    <m/>
    <m/>
    <m/>
  </r>
  <r>
    <n v="670"/>
    <x v="1"/>
    <s v="ЙОРДАНКА НИКОЛАЕВА СУМОВА"/>
    <x v="16"/>
    <s v="Управление ЧР"/>
    <n v="1135.07"/>
    <n v="108.96671999999998"/>
    <n v="542.01"/>
    <n v="102.26"/>
    <n v="1786.0467199999998"/>
    <n v="1385.9722547199999"/>
    <n v="1488.2322547199999"/>
    <n v="17858.787056639998"/>
    <n v="2238.7290864639999"/>
    <n v="26864.749037567999"/>
    <m/>
    <m/>
    <m/>
    <m/>
  </r>
  <r>
    <n v="670"/>
    <x v="0"/>
    <s v="ЙОРДАНКА НИКОЛАЕВА СУМОВА"/>
    <x v="16"/>
    <s v="Управление ЧР"/>
    <n v="1135.07"/>
    <n v="108.96671999999998"/>
    <n v="806.15"/>
    <n v="102.26"/>
    <n v="2050.1867199999997"/>
    <n v="1590.9448947199999"/>
    <n v="1693.2048947199999"/>
    <n v="20318.458736639997"/>
    <n v="2554.6933544639996"/>
    <n v="30656.320253567996"/>
    <n v="0.147890868162732"/>
    <s v="нови задължения"/>
    <s v="Мария Венева"/>
    <d v="2025-12-19T00:00:00"/>
  </r>
  <r>
    <n v="133"/>
    <x v="0"/>
    <s v="КАРАМФИЛ НЕДКОВ КАДИЕВ"/>
    <x v="7"/>
    <s v="Инструментален отдел"/>
    <n v="915.22"/>
    <n v="131.79168000000001"/>
    <n v="548.62"/>
    <n v="102.26"/>
    <n v="1595.63168"/>
    <n v="1238.21018368"/>
    <n v="1340.47018368"/>
    <n v="16085.64220416"/>
    <n v="2010.954615616"/>
    <n v="24131.455387392001"/>
    <m/>
    <m/>
    <m/>
    <m/>
  </r>
  <r>
    <n v="396"/>
    <x v="0"/>
    <s v="КОЛЬО ВАСИЛЕВ КОЛЕВ"/>
    <x v="7"/>
    <s v="Инструментален отдел"/>
    <n v="715.81"/>
    <n v="60.128039999999999"/>
    <n v="409.03"/>
    <n v="102.26"/>
    <n v="1184.96804"/>
    <n v="919.53519903999995"/>
    <n v="1021.7951990399999"/>
    <n v="12261.54238848"/>
    <n v="1519.7187694479999"/>
    <n v="18236.625233375999"/>
    <m/>
    <m/>
    <m/>
    <m/>
  </r>
  <r>
    <n v="537"/>
    <x v="0"/>
    <s v="КОСТАДИН ВАЛЕНТИНОВ МУДЕВ"/>
    <x v="2"/>
    <s v="Преси"/>
    <n v="664.68"/>
    <n v="23.92848"/>
    <n v="839.03"/>
    <n v="102.26"/>
    <n v="1527.6384800000001"/>
    <n v="1185.44746048"/>
    <n v="1287.70746048"/>
    <n v="15452.48952576"/>
    <n v="1929.621149776"/>
    <n v="23155.453797312002"/>
    <m/>
    <m/>
    <m/>
    <m/>
  </r>
  <r>
    <n v="506"/>
    <x v="0"/>
    <s v="КОСТАДИН ДИМИТРОВ МИХАЙЛОВ"/>
    <x v="1"/>
    <s v="Заваръчно"/>
    <n v="838.52"/>
    <n v="45.280079999999998"/>
    <n v="195.73"/>
    <n v="102.26"/>
    <n v="1079.53008"/>
    <n v="837.71534208000003"/>
    <n v="939.97534208000002"/>
    <n v="11279.704104960001"/>
    <n v="1393.5938816960002"/>
    <n v="16723.126580352"/>
    <m/>
    <m/>
    <m/>
    <m/>
  </r>
  <r>
    <n v="587"/>
    <x v="0"/>
    <s v="КРАСИМИРА ГАНЧЕВА ДАСКАЛОВА"/>
    <x v="3"/>
    <s v="Монтаж"/>
    <n v="639.12"/>
    <n v="15.33888"/>
    <n v="184.5"/>
    <n v="102.26"/>
    <n v="838.95888000000002"/>
    <n v="651.03209088000006"/>
    <n v="753.29209088000005"/>
    <n v="9039.5050905600001"/>
    <n v="1105.822612256"/>
    <n v="13269.871347071999"/>
    <m/>
    <m/>
    <m/>
    <m/>
  </r>
  <r>
    <n v="688"/>
    <x v="0"/>
    <s v="КЪНЧО ГЕОРГИЕВ КРЪСТЕВ"/>
    <x v="3"/>
    <s v="Монтаж"/>
    <n v="641.67999999999995"/>
    <n v="7.7001599999999994"/>
    <n v="313.42"/>
    <n v="102.26"/>
    <n v="962.80016000000001"/>
    <n v="747.13292416000002"/>
    <n v="849.39292416000001"/>
    <n v="10192.715089920001"/>
    <n v="1253.961551392"/>
    <n v="15047.538616704001"/>
    <m/>
    <m/>
    <m/>
    <m/>
  </r>
  <r>
    <n v="637"/>
    <x v="0"/>
    <s v="ЛАЗАРИНКА СТОИМЕНОВА ДЖОГЛЕВА"/>
    <x v="22"/>
    <s v="Покупки"/>
    <n v="715.81"/>
    <n v="55.833179999999992"/>
    <n v="0"/>
    <n v="102.26"/>
    <n v="771.64317999999992"/>
    <n v="598.79510768"/>
    <n v="701.05510767999999"/>
    <n v="8412.661292159999"/>
    <n v="1025.2995719159999"/>
    <n v="12303.594862991999"/>
    <m/>
    <m/>
    <m/>
    <m/>
  </r>
  <r>
    <n v="712"/>
    <x v="0"/>
    <s v="ЛЕОН НИКОЛАЕВ ВЪЛЧЕВ"/>
    <x v="23"/>
    <s v="Дизайн на инструменти"/>
    <n v="1380.49"/>
    <n v="8.28294"/>
    <n v="460.15"/>
    <n v="102.26"/>
    <n v="1848.9229399999999"/>
    <n v="1434.7642014400001"/>
    <n v="1537.0242014400001"/>
    <n v="18444.290417280001"/>
    <n v="2313.9416208279999"/>
    <n v="27767.299449935999"/>
    <m/>
    <m/>
    <m/>
    <m/>
  </r>
  <r>
    <n v="749"/>
    <x v="0"/>
    <s v="ЛЪЧЕЗАР ВИКТОРОВ ИНДАРОВ"/>
    <x v="10"/>
    <s v="Автоматизация"/>
    <n v="1710.01"/>
    <n v="61.560360000000003"/>
    <n v="508"/>
    <n v="102.26"/>
    <n v="2279.5703599999997"/>
    <n v="1789.72"/>
    <n v="1891.98"/>
    <n v="22703.760000000002"/>
    <n v="2829.0820646319999"/>
    <n v="33948.984775584002"/>
    <m/>
    <m/>
    <m/>
    <m/>
  </r>
  <r>
    <n v="466"/>
    <x v="0"/>
    <s v="МАРИАНА СТОЯНОВА НИКОЛОВА"/>
    <x v="13"/>
    <s v="Шприцоване"/>
    <n v="639.12"/>
    <n v="26.843040000000002"/>
    <n v="233.34"/>
    <n v="102.26"/>
    <n v="899.30304000000001"/>
    <n v="697.85915904000001"/>
    <n v="800.11915904"/>
    <n v="9601.4299084800004"/>
    <n v="1178.0062964480001"/>
    <n v="14136.075557376"/>
    <m/>
    <m/>
    <m/>
    <m/>
  </r>
  <r>
    <n v="734"/>
    <x v="0"/>
    <s v="МАРИН ВАСИЛЕВ СТАНУЛОВ"/>
    <x v="4"/>
    <s v="Механична обработка"/>
    <n v="155.94999999999999"/>
    <n v="0"/>
    <n v="0"/>
    <n v="102.26"/>
    <n v="155.94999999999999"/>
    <n v="140.35"/>
    <n v="242.61"/>
    <n v="2911.32"/>
    <n v="258.20999999999998"/>
    <n v="3098.5199999999995"/>
    <m/>
    <m/>
    <m/>
    <m/>
  </r>
  <r>
    <n v="264"/>
    <x v="0"/>
    <s v="МАРИНА ИВАНОВА СЛАВОВА"/>
    <x v="12"/>
    <s v="Осигуряване на качеството"/>
    <n v="792.51"/>
    <n v="80.836019999999991"/>
    <n v="392.67"/>
    <n v="102.26"/>
    <n v="1266.01602"/>
    <n v="982.42843152"/>
    <n v="1084.68843152"/>
    <n v="13016.26117824"/>
    <n v="1616.6683631240001"/>
    <n v="19400.020357488"/>
    <m/>
    <m/>
    <m/>
    <m/>
  </r>
  <r>
    <n v="728"/>
    <x v="0"/>
    <s v="МАРИЯ ДЕЛЯНОВА ДИМОВА"/>
    <x v="12"/>
    <s v="Осигуряване на качеството"/>
    <n v="879.43"/>
    <n v="26.382899999999999"/>
    <n v="272.52"/>
    <n v="102.26"/>
    <n v="1178.3328999999999"/>
    <n v="914.38633039999991"/>
    <n v="1016.6463303999999"/>
    <n v="12199.755964799999"/>
    <n v="1511.7818149799998"/>
    <n v="18141.381779759999"/>
    <m/>
    <m/>
    <m/>
    <m/>
  </r>
  <r>
    <n v="686"/>
    <x v="0"/>
    <s v="МАРИЯ ИВАНОВА ПАШКУЛЕВА"/>
    <x v="5"/>
    <s v="Калкулация"/>
    <n v="690.25"/>
    <n v="8.2829999999999995"/>
    <n v="429.49"/>
    <n v="102.26"/>
    <n v="1128.0230000000001"/>
    <n v="875.34584800000016"/>
    <n v="977.60584800000015"/>
    <n v="11731.270176000002"/>
    <n v="1451.6011126000003"/>
    <n v="17419.213351200004"/>
    <m/>
    <m/>
    <m/>
    <m/>
  </r>
  <r>
    <n v="746"/>
    <x v="0"/>
    <s v="МАРИЯ КРАСИМИРОВА СТОЯНОВА"/>
    <x v="0"/>
    <s v="Счетоводство"/>
    <n v="1124.8499999999999"/>
    <n v="53.992799999999995"/>
    <n v="337.45"/>
    <n v="102.26"/>
    <n v="1516.2927999999999"/>
    <n v="1176.6432127999999"/>
    <n v="1278.9032127999999"/>
    <n v="15346.838553599999"/>
    <n v="1916.0494473599999"/>
    <n v="22992.593368319998"/>
    <m/>
    <m/>
    <m/>
    <m/>
  </r>
  <r>
    <n v="740"/>
    <x v="0"/>
    <s v="МАРИЯ ЛУКОВА РУСИНОВА"/>
    <x v="3"/>
    <s v="Монтаж"/>
    <n v="639.12"/>
    <n v="0"/>
    <n v="88.25"/>
    <n v="102.26"/>
    <n v="727.37"/>
    <n v="564.43912"/>
    <n v="666.69911999999999"/>
    <n v="8000.3894399999999"/>
    <n v="972.33999400000005"/>
    <n v="11668.079928000001"/>
    <m/>
    <m/>
    <m/>
    <m/>
  </r>
  <r>
    <n v="696"/>
    <x v="0"/>
    <s v="МАРИЯ МАНАСТИРЛИ"/>
    <x v="24"/>
    <s v="Логистика"/>
    <n v="989.35"/>
    <n v="5.9360999999999997"/>
    <n v="460.16"/>
    <n v="102.26"/>
    <n v="1455.4461000000001"/>
    <n v="1129.4261736000001"/>
    <n v="1231.6861736000001"/>
    <n v="14780.234083200001"/>
    <n v="1843.2646248200001"/>
    <n v="22119.175497840002"/>
    <m/>
    <m/>
    <m/>
    <m/>
  </r>
  <r>
    <n v="731"/>
    <x v="0"/>
    <s v="МАРИЯ-АНТОНИЯ СТЕФАНОВА ПИСОВА"/>
    <x v="3"/>
    <s v="Монтаж"/>
    <n v="639.12"/>
    <n v="0"/>
    <n v="88.25"/>
    <n v="102.26"/>
    <n v="727.37"/>
    <n v="564.43912"/>
    <n v="666.69911999999999"/>
    <n v="8000.3894399999999"/>
    <n v="972.33999400000005"/>
    <n v="11668.079928000001"/>
    <m/>
    <m/>
    <m/>
    <m/>
  </r>
  <r>
    <n v="485"/>
    <x v="0"/>
    <s v="МАРИЯЛУИЗА НИКОЛОВА ДРЕНКОВА"/>
    <x v="3"/>
    <s v="Монтаж"/>
    <n v="639.12"/>
    <n v="38.347200000000001"/>
    <n v="169.15"/>
    <n v="102.26"/>
    <n v="846.61720000000003"/>
    <n v="656.97494720000009"/>
    <n v="759.23494720000008"/>
    <n v="9110.8193664000009"/>
    <n v="1114.9834946400001"/>
    <n v="13379.801935680001"/>
    <m/>
    <m/>
    <m/>
    <m/>
  </r>
  <r>
    <n v="3"/>
    <x v="0"/>
    <s v="МИЛЕН АТАНАСОВ СТАНКИН"/>
    <x v="4"/>
    <s v="Механична обработка"/>
    <n v="741.38"/>
    <n v="53.379359999999998"/>
    <n v="204.52"/>
    <n v="102.26"/>
    <n v="999.27936"/>
    <n v="775.44078336000007"/>
    <n v="877.70078336000006"/>
    <n v="10532.409400320001"/>
    <n v="1297.597970432"/>
    <n v="15571.175645184001"/>
    <m/>
    <m/>
    <m/>
    <m/>
  </r>
  <r>
    <n v="705"/>
    <x v="0"/>
    <s v="МИЛЕН БОРИСЛАВОВ ВАСИЛЕВ"/>
    <x v="21"/>
    <s v="Сгради"/>
    <n v="639.12"/>
    <n v="3.8347199999999999"/>
    <n v="0"/>
    <n v="102.26"/>
    <n v="642.95471999999995"/>
    <n v="498.93286272"/>
    <n v="601.19286271999999"/>
    <n v="7214.3143526399999"/>
    <n v="871.36243606399989"/>
    <n v="10456.349232768"/>
    <m/>
    <m/>
    <m/>
    <m/>
  </r>
  <r>
    <n v="40"/>
    <x v="0"/>
    <s v="МИЛЕНА ИЛИЕВА ТЕРЗИЕВА"/>
    <x v="22"/>
    <s v="Покупки"/>
    <n v="986.8"/>
    <n v="213.14880000000002"/>
    <n v="153.38999999999999"/>
    <n v="102.26"/>
    <n v="1353.3388"/>
    <n v="1050.1909088"/>
    <n v="1152.4509088"/>
    <n v="13829.4109056"/>
    <n v="1721.1238725600001"/>
    <n v="20653.486470720003"/>
    <m/>
    <m/>
    <m/>
    <m/>
  </r>
  <r>
    <n v="655"/>
    <x v="0"/>
    <s v="МИЛИЦА ВАЛЕНТИНОВА ИВАНОВА"/>
    <x v="16"/>
    <s v="Управление ЧР"/>
    <n v="1431.62"/>
    <n v="51.538319999999992"/>
    <n v="0"/>
    <n v="102.26"/>
    <n v="1483.1583199999998"/>
    <n v="1150.9308563199997"/>
    <n v="1253.1908563199997"/>
    <n v="15038.290275839998"/>
    <n v="1876.4139823839996"/>
    <n v="22516.967788607995"/>
    <m/>
    <m/>
    <m/>
    <m/>
  </r>
  <r>
    <n v="176"/>
    <x v="0"/>
    <s v="МИНКА ЦОНОВА ЛАТЕВА"/>
    <x v="3"/>
    <s v="Монтаж"/>
    <n v="639.12"/>
    <n v="53.686080000000004"/>
    <n v="0"/>
    <n v="102.26"/>
    <n v="692.80608000000007"/>
    <n v="537.61751808000008"/>
    <n v="639.87751808000007"/>
    <n v="7678.5302169600009"/>
    <n v="930.9946328960001"/>
    <n v="11171.935594752002"/>
    <m/>
    <m/>
    <m/>
    <m/>
  </r>
  <r>
    <n v="689"/>
    <x v="0"/>
    <s v="МИРОСЛАВ ГЕОРГИЕВ КОСТОВ"/>
    <x v="10"/>
    <s v="Автоматизация"/>
    <n v="792.51"/>
    <n v="9.5101199999999988"/>
    <n v="393.69"/>
    <n v="102.26"/>
    <n v="1195.71012"/>
    <n v="927.87105311999994"/>
    <n v="1030.1310531199999"/>
    <n v="12361.57263744"/>
    <n v="1532.568445544"/>
    <n v="18390.821346527999"/>
    <m/>
    <m/>
    <m/>
    <m/>
  </r>
  <r>
    <n v="733"/>
    <x v="0"/>
    <s v="МИРОСЛАВ ИВАНОВ АТАНАСОВ"/>
    <x v="10"/>
    <s v="Автоматизация"/>
    <n v="1135.07"/>
    <n v="0"/>
    <n v="380.4"/>
    <n v="102.26"/>
    <n v="1515.4699999999998"/>
    <n v="1176.0047199999999"/>
    <n v="1278.2647199999999"/>
    <n v="15339.176639999998"/>
    <n v="1915.0652139999997"/>
    <n v="22980.782567999995"/>
    <m/>
    <m/>
    <m/>
    <m/>
  </r>
  <r>
    <n v="356"/>
    <x v="0"/>
    <s v="МИХАИЛ НИКОЛАЕВИЧ СТОЛЕЙКОВ"/>
    <x v="1"/>
    <s v="Заваръчно"/>
    <n v="741.38"/>
    <n v="40.034520000000001"/>
    <n v="169.06"/>
    <n v="102.26"/>
    <n v="950.47451999999998"/>
    <n v="737.56822752000005"/>
    <n v="839.82822752000004"/>
    <n v="10077.938730240001"/>
    <n v="1239.2176208240001"/>
    <n v="14870.611449888002"/>
    <m/>
    <m/>
    <m/>
    <m/>
  </r>
  <r>
    <n v="116"/>
    <x v="0"/>
    <s v="НАДКА ИВАНОВА ЕНЕВА"/>
    <x v="2"/>
    <s v="Преси"/>
    <n v="674.91"/>
    <n v="68.840819999999994"/>
    <n v="187.79"/>
    <n v="102.26"/>
    <n v="931.54081999999994"/>
    <n v="722.87567632000003"/>
    <n v="825.13567632000002"/>
    <n v="9901.6281158399997"/>
    <n v="1216.5691288839998"/>
    <n v="14598.829546607998"/>
    <m/>
    <m/>
    <m/>
    <m/>
  </r>
  <r>
    <n v="707"/>
    <x v="0"/>
    <s v="НАТАЛИЯ НИКОЛАЕВНА БРЕЗОВА"/>
    <x v="3"/>
    <s v="Монтаж"/>
    <n v="639.12"/>
    <n v="3.8347199999999999"/>
    <n v="184.5"/>
    <n v="102.26"/>
    <n v="827.45471999999995"/>
    <n v="642.10486272000003"/>
    <n v="744.36486272000002"/>
    <n v="8932.3783526400002"/>
    <n v="1092.061336064"/>
    <n v="13104.736032768"/>
    <m/>
    <m/>
    <m/>
    <m/>
  </r>
  <r>
    <n v="474"/>
    <x v="0"/>
    <s v="НАТАЛИЯ СТЕФАНОВА ПЕТРОВА"/>
    <x v="3"/>
    <s v="Монтаж"/>
    <n v="639.12"/>
    <n v="26.843040000000002"/>
    <n v="180.66"/>
    <n v="102.26"/>
    <n v="846.62303999999995"/>
    <n v="656.97947904"/>
    <n v="759.23947903999999"/>
    <n v="9110.8737484800004"/>
    <n v="1114.990480448"/>
    <n v="13379.885765375999"/>
    <m/>
    <m/>
    <m/>
    <m/>
  </r>
  <r>
    <n v="667"/>
    <x v="0"/>
    <s v="НЕДЕЛЧО НАНКОВ ВЪЛКОВ"/>
    <x v="25"/>
    <s v="Дизайн на автоматизация"/>
    <n v="1861.11"/>
    <n v="22.333320000000001"/>
    <n v="817.56"/>
    <n v="102.26"/>
    <n v="2701.0033199999998"/>
    <n v="2169.0100000000002"/>
    <n v="2271.2700000000004"/>
    <n v="27255.240000000005"/>
    <n v="3333.200171384"/>
    <n v="39998.402056608"/>
    <m/>
    <m/>
    <m/>
    <m/>
  </r>
  <r>
    <n v="289"/>
    <x v="0"/>
    <s v="НЕДЯЛКА ЙОРДАНОВА ВОЙНИШКА"/>
    <x v="2"/>
    <s v="Преси"/>
    <n v="674.91"/>
    <n v="44.544060000000002"/>
    <n v="179.86"/>
    <n v="102.26"/>
    <n v="899.31406000000004"/>
    <n v="697.86771056000009"/>
    <n v="800.12771056000008"/>
    <n v="9601.5325267200005"/>
    <n v="1178.019478572"/>
    <n v="14136.233742864"/>
    <m/>
    <m/>
    <m/>
    <m/>
  </r>
  <r>
    <n v="248"/>
    <x v="0"/>
    <s v="НЕДЯЛКО ДОБРЕВ КОЗАЛИЕВ"/>
    <x v="23"/>
    <s v="Дизайн на инструменти"/>
    <n v="989.35"/>
    <n v="65.2971"/>
    <n v="807.84"/>
    <n v="102.26"/>
    <n v="1862.4871000000003"/>
    <n v="1445.2899896000004"/>
    <n v="1547.5499896000003"/>
    <n v="18570.599875200005"/>
    <n v="2330.1670690200003"/>
    <n v="27962.004828240002"/>
    <m/>
    <m/>
    <m/>
    <m/>
  </r>
  <r>
    <n v="661"/>
    <x v="0"/>
    <s v="НИКОЛА АЛЕКСАНДРОВ ДАДАРКОВ"/>
    <x v="13"/>
    <s v="Шприцоване"/>
    <n v="1089.06"/>
    <n v="52.274879999999996"/>
    <n v="420.79"/>
    <n v="102.26"/>
    <n v="1562.1248799999998"/>
    <n v="1212.2089068799999"/>
    <n v="1314.4689068799998"/>
    <n v="15773.626882559998"/>
    <n v="1970.873781456"/>
    <n v="23650.485377472"/>
    <m/>
    <m/>
    <m/>
    <m/>
  </r>
  <r>
    <n v="699"/>
    <x v="0"/>
    <s v="НИКОЛА СТОИЛОВ ГУНЧЕВ"/>
    <x v="7"/>
    <s v="Инструментален отдел"/>
    <n v="889.65"/>
    <n v="5.3378999999999994"/>
    <n v="296.55"/>
    <n v="102.26"/>
    <n v="1191.5379"/>
    <n v="924.6334104"/>
    <n v="1026.8934104"/>
    <n v="12322.7209248"/>
    <n v="1527.5776359800002"/>
    <n v="18330.931631760002"/>
    <m/>
    <m/>
    <m/>
    <m/>
  </r>
  <r>
    <n v="730"/>
    <x v="0"/>
    <s v="НИКОЛИНКА ДИМИТРОВА АНГЕЛОВА"/>
    <x v="3"/>
    <s v="Монтаж"/>
    <n v="639.12"/>
    <n v="0"/>
    <n v="88.25"/>
    <n v="102.26"/>
    <n v="727.37"/>
    <n v="564.43912"/>
    <n v="666.69911999999999"/>
    <n v="8000.3894399999999"/>
    <n v="972.33999400000005"/>
    <n v="11668.079928000001"/>
    <m/>
    <m/>
    <m/>
    <m/>
  </r>
  <r>
    <n v="694"/>
    <x v="0"/>
    <s v="ОРЕЛИЕН ЖАН-МАРИ МАТЮ"/>
    <x v="17"/>
    <s v="Управление на проекти"/>
    <n v="2116.75"/>
    <n v="25.401"/>
    <n v="949.47"/>
    <n v="102.26"/>
    <n v="3091.6210000000001"/>
    <n v="2520.5700000000002"/>
    <n v="2622.8300000000004"/>
    <n v="31473.960000000006"/>
    <n v="3800.4570401999999"/>
    <n v="45605.484482400003"/>
    <m/>
    <m/>
    <m/>
    <m/>
  </r>
  <r>
    <n v="334"/>
    <x v="0"/>
    <s v="ПАВЛИН НЕНОВ ЯЛЪМОВ"/>
    <x v="4"/>
    <s v="Механична обработка"/>
    <n v="790.97"/>
    <n v="75.933120000000002"/>
    <n v="131.4"/>
    <n v="102.26"/>
    <n v="998.30312000000004"/>
    <n v="774.6832211200001"/>
    <n v="876.94322112000009"/>
    <n v="10523.318653440001"/>
    <n v="1296.4301921440001"/>
    <n v="15557.162305728001"/>
    <m/>
    <m/>
    <m/>
    <m/>
  </r>
  <r>
    <n v="131"/>
    <x v="0"/>
    <s v="ПЕНКА АСЕНОВА ДИМИТРОВА"/>
    <x v="3"/>
    <s v="Монтаж"/>
    <n v="639.12"/>
    <n v="69.024960000000007"/>
    <n v="88.25"/>
    <n v="102.26"/>
    <n v="796.39495999999997"/>
    <n v="618.00248896000005"/>
    <n v="720.26248896000004"/>
    <n v="8643.14986752"/>
    <n v="1054.907651152"/>
    <n v="12658.891813824001"/>
    <m/>
    <m/>
    <m/>
    <m/>
  </r>
  <r>
    <n v="195"/>
    <x v="0"/>
    <s v="ПЕНКО СТАНЧЕВ ПУЛЕВ"/>
    <x v="7"/>
    <s v="Инструментален отдел"/>
    <n v="915.22"/>
    <n v="93.352439999999987"/>
    <n v="1237.33"/>
    <n v="102.26"/>
    <n v="2245.9024399999998"/>
    <n v="1759.42"/>
    <n v="1861.68"/>
    <n v="22340.16"/>
    <n v="2788.8084987279999"/>
    <n v="33465.701984735999"/>
    <m/>
    <m/>
    <m/>
    <m/>
  </r>
  <r>
    <n v="750"/>
    <x v="0"/>
    <s v="ПЕТКО ИВАНОВ ДАРАДЖАНСКИ"/>
    <x v="3"/>
    <s v="Монтаж"/>
    <n v="640"/>
    <n v="0"/>
    <n v="85.53"/>
    <n v="102.26"/>
    <n v="725.53"/>
    <n v="563.01127999999994"/>
    <n v="665.27127999999993"/>
    <n v="7983.2553599999992"/>
    <n v="970.13898599999993"/>
    <n v="11641.667831999999"/>
    <m/>
    <m/>
    <m/>
    <m/>
  </r>
  <r>
    <n v="246"/>
    <x v="0"/>
    <s v="ПЕТКО-ХРИСТО АПОСТОЛОВ ИВАНОВ"/>
    <x v="1"/>
    <s v="Заваръчно"/>
    <n v="715.81"/>
    <n v="47.243459999999999"/>
    <n v="1097.23"/>
    <n v="102.26"/>
    <n v="1860.2834600000001"/>
    <n v="1443.5799649600001"/>
    <n v="1545.8399649600001"/>
    <n v="18550.079579520003"/>
    <n v="2327.5310748520001"/>
    <n v="27930.372898223999"/>
    <m/>
    <m/>
    <m/>
    <m/>
  </r>
  <r>
    <n v="727"/>
    <x v="0"/>
    <s v="ПЕТЪР ИВАНОВ РАШКОВ"/>
    <x v="2"/>
    <s v="Преси"/>
    <n v="1710.28"/>
    <n v="0"/>
    <n v="569.58000000000004"/>
    <n v="102.26"/>
    <n v="2279.86"/>
    <n v="1789.98"/>
    <n v="1892.24"/>
    <n v="22706.880000000001"/>
    <n v="2829.4285320000004"/>
    <n v="33953.142384000006"/>
    <m/>
    <m/>
    <m/>
    <m/>
  </r>
  <r>
    <n v="406"/>
    <x v="0"/>
    <s v="ПЕТЯ ВАНКОВА НЕНОВСКА"/>
    <x v="12"/>
    <s v="Осигуряване на качеството"/>
    <n v="792.51"/>
    <n v="38.040479999999995"/>
    <n v="632.98"/>
    <n v="102.26"/>
    <n v="1463.5304799999999"/>
    <n v="1135.6996524799999"/>
    <n v="1237.9596524799999"/>
    <n v="14855.515829759999"/>
    <n v="1852.935160176"/>
    <n v="22235.221922111999"/>
    <m/>
    <m/>
    <m/>
    <m/>
  </r>
  <r>
    <n v="333"/>
    <x v="0"/>
    <s v="ПЕТЯ ВЪЛКОВА ПАШКУЛЕВА"/>
    <x v="3"/>
    <s v="Монтаж"/>
    <n v="639.12"/>
    <n v="38.347200000000001"/>
    <n v="184.5"/>
    <n v="102.26"/>
    <n v="861.96720000000005"/>
    <n v="668.88654720000011"/>
    <n v="771.1465472000001"/>
    <n v="9253.7585664000017"/>
    <n v="1133.3451646400001"/>
    <n v="13600.141975680002"/>
    <m/>
    <m/>
    <m/>
    <m/>
  </r>
  <r>
    <n v="603"/>
    <x v="0"/>
    <s v="ПОЛИНА МИТКОВА ИЛИЕВА"/>
    <x v="0"/>
    <s v="Счетоводство"/>
    <n v="1140.19"/>
    <n v="88.934820000000002"/>
    <n v="840.74"/>
    <n v="102.26"/>
    <n v="2069.8648199999998"/>
    <n v="1606.17"/>
    <n v="1708.43"/>
    <n v="20501.16"/>
    <n v="2578.2322976839996"/>
    <n v="30938.787572207995"/>
    <m/>
    <m/>
    <m/>
    <m/>
  </r>
  <r>
    <n v="338"/>
    <x v="0"/>
    <s v="РАДКА ДИМОВА ИЛИЕВА"/>
    <x v="3"/>
    <s v="Монтаж"/>
    <n v="639.12"/>
    <n v="38.347200000000001"/>
    <n v="88.25"/>
    <n v="102.26"/>
    <n v="765.71720000000005"/>
    <n v="594.19654720000005"/>
    <n v="696.45654720000005"/>
    <n v="8357.478566400001"/>
    <n v="1018.2109146400001"/>
    <n v="12218.530975680002"/>
    <m/>
    <m/>
    <m/>
    <m/>
  </r>
  <r>
    <n v="735"/>
    <x v="0"/>
    <s v="РАДОСЛАВ ДАНЧОВ ПАСТЪРМАДЖИЕВ"/>
    <x v="4"/>
    <s v="Механична обработка"/>
    <n v="155.94999999999999"/>
    <n v="0"/>
    <n v="0"/>
    <n v="102.26"/>
    <n v="155.94999999999999"/>
    <n v="140.35"/>
    <n v="242.61"/>
    <n v="2911.32"/>
    <n v="258.20999999999998"/>
    <n v="3098.5199999999995"/>
    <m/>
    <m/>
    <m/>
    <m/>
  </r>
  <r>
    <n v="315"/>
    <x v="0"/>
    <s v="РОСИЦА ИЛИЕВА МИТРЕНОВА"/>
    <x v="3"/>
    <s v="Монтаж"/>
    <n v="737"/>
    <n v="44.22"/>
    <n v="273.5"/>
    <n v="102.26"/>
    <n v="1054.72"/>
    <n v="818.46271999999999"/>
    <n v="920.72271999999998"/>
    <n v="11048.672640000001"/>
    <n v="1363.916064"/>
    <n v="16366.992768"/>
    <m/>
    <m/>
    <m/>
    <m/>
  </r>
  <r>
    <n v="616"/>
    <x v="0"/>
    <s v="РОСИЦА ЙОРДАНОВА МИТРЕВА"/>
    <x v="3"/>
    <s v="Монтаж"/>
    <n v="639.12"/>
    <n v="26.843040000000002"/>
    <n v="0"/>
    <n v="102.26"/>
    <n v="665.96303999999998"/>
    <n v="516.78731903999994"/>
    <n v="619.04731903999993"/>
    <n v="7428.5678284799997"/>
    <n v="898.88498844800006"/>
    <n v="10786.619861376001"/>
    <m/>
    <m/>
    <m/>
    <m/>
  </r>
  <r>
    <n v="680"/>
    <x v="0"/>
    <s v="РОСИЦА КОНСТАНТИНОВА ВАСИЛЕВА"/>
    <x v="3"/>
    <s v="Монтаж"/>
    <n v="639.12"/>
    <n v="26.843040000000002"/>
    <n v="69.08"/>
    <n v="102.26"/>
    <n v="735.04304000000002"/>
    <n v="570.39339904000008"/>
    <n v="672.65339904000007"/>
    <n v="8071.8407884800008"/>
    <n v="981.51848444799998"/>
    <n v="11778.221813376"/>
    <m/>
    <m/>
    <m/>
    <m/>
  </r>
  <r>
    <n v="250"/>
    <x v="0"/>
    <s v="РУМЯНА СТЕФАНОВА ИВАНОВА"/>
    <x v="8"/>
    <s v="Склад"/>
    <n v="690.25"/>
    <n v="45.5565"/>
    <n v="530.72"/>
    <n v="102.26"/>
    <n v="1266.5264999999999"/>
    <n v="982.82456400000001"/>
    <n v="1085.084564"/>
    <n v="13021.014768000001"/>
    <n v="1617.2789992999999"/>
    <n v="19407.3479916"/>
    <m/>
    <m/>
    <m/>
    <m/>
  </r>
  <r>
    <n v="11"/>
    <x v="0"/>
    <s v="САХАК ОВАНЕС ЕФЕНДИЯН"/>
    <x v="4"/>
    <s v="Механична обработка"/>
    <n v="741.38"/>
    <n v="177.93119999999999"/>
    <n v="80.400000000000006"/>
    <n v="102.26"/>
    <n v="999.71119999999996"/>
    <n v="775.77589120000005"/>
    <n v="878.03589120000004"/>
    <n v="10536.4306944"/>
    <n v="1298.11453744"/>
    <n v="15577.37444928"/>
    <m/>
    <m/>
    <m/>
    <m/>
  </r>
  <r>
    <n v="698"/>
    <x v="0"/>
    <s v="СЕРАФИМ НИКОЛАЕВ АЯНСКИ"/>
    <x v="17"/>
    <s v="Управление на проекти"/>
    <n v="1845.77"/>
    <n v="11.074619999999999"/>
    <n v="621.73"/>
    <n v="102.26"/>
    <n v="2478.5746200000003"/>
    <n v="1968.82"/>
    <n v="2071.08"/>
    <n v="24852.959999999999"/>
    <n v="3067.1309604440003"/>
    <n v="36805.571525328007"/>
    <m/>
    <m/>
    <m/>
    <m/>
  </r>
  <r>
    <n v="83"/>
    <x v="0"/>
    <s v="СИМЕОН СТАНИМИРОВ СИМЕОНОВ"/>
    <x v="2"/>
    <s v="Преси"/>
    <n v="986.8"/>
    <n v="112.49520000000001"/>
    <n v="252.33"/>
    <n v="102.26"/>
    <n v="1351.6251999999999"/>
    <n v="1048.8611552"/>
    <n v="1151.1211552"/>
    <n v="13813.4538624"/>
    <n v="1719.0740642399999"/>
    <n v="20628.888770879999"/>
    <m/>
    <m/>
    <m/>
    <m/>
  </r>
  <r>
    <n v="325"/>
    <x v="0"/>
    <s v="СИРИЛ ЖЕРЕМИ ДЮПИР"/>
    <x v="25"/>
    <s v="Дизайн на автоматизация"/>
    <n v="623.78"/>
    <n v="37.4268"/>
    <n v="1910.7"/>
    <n v="102.26"/>
    <n v="2571.9067999999997"/>
    <n v="2052.83"/>
    <n v="2155.09"/>
    <n v="25861.08"/>
    <n v="3178.7749141599998"/>
    <n v="38145.298969919997"/>
    <m/>
    <m/>
    <m/>
    <m/>
  </r>
  <r>
    <n v="706"/>
    <x v="0"/>
    <s v="СНЕЖАНА ДАНЧЕВА ВЪЛКОВА"/>
    <x v="3"/>
    <s v="Монтаж"/>
    <n v="639.12"/>
    <n v="3.8347199999999999"/>
    <n v="88.25"/>
    <n v="102.26"/>
    <n v="731.20471999999995"/>
    <n v="567.41486271999997"/>
    <n v="669.67486271999996"/>
    <n v="8036.0983526399996"/>
    <n v="976.92708606399992"/>
    <n v="11723.125032767999"/>
    <m/>
    <m/>
    <m/>
    <m/>
  </r>
  <r>
    <n v="685"/>
    <x v="0"/>
    <s v="СТЕФАН ГЕОРГИЕВ ШОТЛЕКОВ"/>
    <x v="3"/>
    <s v="Монтаж"/>
    <n v="736.27"/>
    <n v="66.264300000000006"/>
    <n v="260.76"/>
    <n v="102.26"/>
    <n v="1063.2943"/>
    <n v="825.11637680000001"/>
    <n v="927.3763768"/>
    <n v="11128.5165216"/>
    <n v="1374.17264166"/>
    <n v="16490.071699920001"/>
    <m/>
    <m/>
    <m/>
    <m/>
  </r>
  <r>
    <n v="755"/>
    <x v="0"/>
    <s v="СТЕФАН ИВАНОВ ГЕНОВ"/>
    <x v="8"/>
    <s v="Склад"/>
    <n v="750"/>
    <n v="0"/>
    <n v="255.18"/>
    <n v="102.26"/>
    <n v="1005.1800000000001"/>
    <n v="780.01968000000011"/>
    <n v="882.2796800000001"/>
    <n v="10587.356160000001"/>
    <n v="1304.6563160000001"/>
    <n v="15655.875792000001"/>
    <m/>
    <m/>
    <m/>
    <m/>
  </r>
  <r>
    <n v="619"/>
    <x v="0"/>
    <s v="СТЕФАН ИЛИНОВ НИКОЛОВ"/>
    <x v="4"/>
    <s v="Механична обработка"/>
    <n v="790.97"/>
    <n v="75.933120000000002"/>
    <n v="342.05"/>
    <n v="102.26"/>
    <n v="1208.9531200000001"/>
    <n v="938.14762112000017"/>
    <n v="1040.4076211200002"/>
    <n v="12484.891453440003"/>
    <n v="1548.4097221440002"/>
    <n v="18580.916665728"/>
    <m/>
    <m/>
    <m/>
    <m/>
  </r>
  <r>
    <n v="369"/>
    <x v="0"/>
    <s v="СТЕФАН ПЕТРОВ ПЕТРОВ"/>
    <x v="20"/>
    <s v="Заготовки за производство"/>
    <n v="674.91"/>
    <n v="36.445140000000002"/>
    <n v="532.05999999999995"/>
    <n v="102.26"/>
    <n v="1243.4151400000001"/>
    <n v="964.89014864000012"/>
    <n v="1067.1501486400002"/>
    <n v="12805.801783680003"/>
    <n v="1589.6331904680001"/>
    <n v="19075.598285616001"/>
    <m/>
    <m/>
    <m/>
    <m/>
  </r>
  <r>
    <n v="9"/>
    <x v="0"/>
    <s v="СТЕФКА ДИМИТРОВА ЗОЕВА"/>
    <x v="3"/>
    <s v="Монтаж"/>
    <n v="639.12"/>
    <n v="76.694400000000002"/>
    <n v="88.25"/>
    <n v="102.26"/>
    <n v="804.06439999999998"/>
    <n v="623.95397439999999"/>
    <n v="726.21397439999998"/>
    <n v="8714.5676927999993"/>
    <n v="1064.08183528"/>
    <n v="12768.98202336"/>
    <m/>
    <m/>
    <m/>
    <m/>
  </r>
  <r>
    <n v="583"/>
    <x v="0"/>
    <s v="СТОИМЕН ИВАНОВ СТОЙЧЕВ"/>
    <x v="1"/>
    <s v="Преси"/>
    <n v="790.97"/>
    <n v="14.23746"/>
    <n v="254.11"/>
    <n v="102.26"/>
    <n v="1059.3174600000002"/>
    <n v="822.0303489600002"/>
    <n v="924.29034896000019"/>
    <n v="11091.484187520002"/>
    <n v="1369.4155456520002"/>
    <n v="16432.986547824003"/>
    <m/>
    <m/>
    <m/>
    <m/>
  </r>
  <r>
    <n v="743"/>
    <x v="0"/>
    <s v="СТОЙЧО МИЛКОВ СТОЕВ"/>
    <x v="13"/>
    <s v="Шприцоване"/>
    <n v="1625.91"/>
    <n v="9.7554600000000011"/>
    <n v="530.21"/>
    <n v="102.26"/>
    <n v="2165.8754600000002"/>
    <n v="1687.4"/>
    <n v="1789.66"/>
    <n v="21475.920000000002"/>
    <n v="2693.0802252520002"/>
    <n v="32316.962703024001"/>
    <m/>
    <m/>
    <m/>
    <m/>
  </r>
  <r>
    <n v="507"/>
    <x v="0"/>
    <s v="СТОЮ АСПАРУХОВ КЛЕЧКОВ"/>
    <x v="4"/>
    <s v="Механична обработка"/>
    <n v="790.97"/>
    <n v="132.88296"/>
    <n v="138.05000000000001"/>
    <n v="102.26"/>
    <n v="1061.9029600000001"/>
    <n v="824.03669696000009"/>
    <n v="926.29669696000008"/>
    <n v="11115.56036352"/>
    <n v="1372.5083207520001"/>
    <n v="16470.099849024002"/>
    <m/>
    <m/>
    <m/>
    <m/>
  </r>
  <r>
    <n v="607"/>
    <x v="0"/>
    <s v="СТОЮ ИВАНОВ РУНТЕВ"/>
    <x v="2"/>
    <s v="Преси"/>
    <n v="674.91"/>
    <n v="28.346219999999999"/>
    <n v="598.95000000000005"/>
    <n v="102.26"/>
    <n v="1302.20622"/>
    <n v="1010.5120267200001"/>
    <n v="1112.7720267200002"/>
    <n v="13353.264320640003"/>
    <n v="1659.9590803640001"/>
    <n v="19919.508964368"/>
    <m/>
    <m/>
    <m/>
    <m/>
  </r>
  <r>
    <n v="431"/>
    <x v="0"/>
    <s v="СТОЯНКА ВЛАДИМИРОВА МАТЕВА"/>
    <x v="3"/>
    <s v="Монтаж"/>
    <n v="639.12"/>
    <n v="42.181919999999998"/>
    <n v="76.75"/>
    <n v="102.26"/>
    <n v="758.05192"/>
    <n v="588.24828992000005"/>
    <n v="690.50828992000004"/>
    <n v="8286.09947904"/>
    <n v="1009.041706704"/>
    <n v="12108.500480448001"/>
    <m/>
    <m/>
    <m/>
    <m/>
  </r>
  <r>
    <n v="666"/>
    <x v="0"/>
    <s v="СТОЯНКА РАНГЕЛОВА ИВАНОВА"/>
    <x v="3"/>
    <s v="Монтаж"/>
    <n v="639.12"/>
    <n v="103.53743999999999"/>
    <n v="38.4"/>
    <n v="102.26"/>
    <n v="781.05743999999993"/>
    <n v="606.10057343999995"/>
    <n v="708.36057343999994"/>
    <n v="8500.3268812799997"/>
    <n v="1036.5609097279998"/>
    <n v="12438.730916735998"/>
    <m/>
    <m/>
    <m/>
    <m/>
  </r>
  <r>
    <n v="477"/>
    <x v="0"/>
    <s v="СТОЯНКА СТОЙЧЕВА ДЖОГЛОВА"/>
    <x v="3"/>
    <s v="Монтаж"/>
    <n v="639.12"/>
    <n v="46.016639999999995"/>
    <n v="0"/>
    <n v="102.26"/>
    <n v="685.13663999999994"/>
    <n v="531.66603264000003"/>
    <n v="633.92603264000002"/>
    <n v="7607.1123916800007"/>
    <n v="921.82044876800001"/>
    <n v="11061.845385216"/>
    <m/>
    <m/>
    <m/>
    <m/>
  </r>
  <r>
    <n v="744"/>
    <x v="0"/>
    <s v="ТАНЯ АРГИРОВА ТЕРЗИЕВА"/>
    <x v="3"/>
    <s v="Монтаж"/>
    <n v="639.12"/>
    <n v="0"/>
    <n v="88.25"/>
    <n v="102.26"/>
    <n v="727.37"/>
    <n v="564.43912"/>
    <n v="666.69911999999999"/>
    <n v="8000.3894399999999"/>
    <n v="972.33999400000005"/>
    <n v="11668.079928000001"/>
    <m/>
    <m/>
    <m/>
    <m/>
  </r>
  <r>
    <n v="722"/>
    <x v="0"/>
    <s v="ТЕОДОР НИКОЛАЕВ ПОПИНСКИ"/>
    <x v="13"/>
    <s v="Шприцоване"/>
    <n v="1186.2"/>
    <n v="14.234400000000001"/>
    <n v="381.42"/>
    <n v="102.26"/>
    <n v="1581.8544000000002"/>
    <n v="1227.5190144000001"/>
    <n v="1329.7790144000001"/>
    <n v="15957.348172800001"/>
    <n v="1994.4742332800001"/>
    <n v="23933.690799360003"/>
    <m/>
    <m/>
    <m/>
    <m/>
  </r>
  <r>
    <n v="358"/>
    <x v="0"/>
    <s v="ТЕОДОРА МАРИНОВА ВАСИЛЕВА"/>
    <x v="3"/>
    <s v="Монтаж"/>
    <n v="639.12"/>
    <n v="34.512480000000004"/>
    <n v="184.5"/>
    <n v="102.26"/>
    <n v="858.13247999999999"/>
    <n v="665.91080448000002"/>
    <n v="768.17080448000002"/>
    <n v="9218.0496537600011"/>
    <n v="1128.7580725759999"/>
    <n v="13545.096870911999"/>
    <m/>
    <m/>
    <m/>
    <m/>
  </r>
  <r>
    <n v="725"/>
    <x v="0"/>
    <s v="ТИХОМИР ПЕТРОВ ТЕНЕВ"/>
    <x v="19"/>
    <s v="Спедиция"/>
    <n v="741.38"/>
    <n v="0"/>
    <n v="378.87"/>
    <n v="102.26"/>
    <n v="1120.25"/>
    <n v="869.31400000000008"/>
    <n v="971.57400000000007"/>
    <n v="11658.888000000001"/>
    <n v="1442.30305"/>
    <n v="17307.636599999998"/>
    <m/>
    <m/>
    <m/>
    <m/>
  </r>
  <r>
    <n v="71"/>
    <x v="0"/>
    <s v="ТОДОР АНГЕЛОВ ФИЛИПОВ"/>
    <x v="4"/>
    <s v="Механична обработка"/>
    <n v="1380.49"/>
    <n v="115.96116000000001"/>
    <n v="489.31"/>
    <n v="102.26"/>
    <n v="1985.76116"/>
    <n v="1540.9506601600001"/>
    <n v="1643.2106601600001"/>
    <n v="19718.527921920002"/>
    <n v="2477.6274995920003"/>
    <n v="29731.529995104003"/>
    <m/>
    <m/>
    <m/>
    <m/>
  </r>
  <r>
    <n v="724"/>
    <x v="0"/>
    <s v="ТОДОР ДИМИТРОВ БОЕВ"/>
    <x v="4"/>
    <s v="Механична обработка"/>
    <n v="889.65"/>
    <n v="16.0137"/>
    <n v="286.32"/>
    <n v="102.26"/>
    <n v="1191.9837"/>
    <n v="924.9793512"/>
    <n v="1027.2393512000001"/>
    <n v="12326.872214400002"/>
    <n v="1528.1109019400001"/>
    <n v="18337.330823280001"/>
    <m/>
    <m/>
    <m/>
    <m/>
  </r>
  <r>
    <n v="717"/>
    <x v="0"/>
    <s v="ХРИСТИНА АНГЕЛОВА ЗГУРОВА"/>
    <x v="22"/>
    <s v="Логистика"/>
    <n v="838.52"/>
    <n v="5.0311199999999996"/>
    <n v="743.77"/>
    <n v="102.26"/>
    <n v="1587.3211200000001"/>
    <n v="1231.7611891200002"/>
    <n v="1334.0211891200001"/>
    <n v="16008.254269440002"/>
    <n v="2001.0135237440002"/>
    <n v="24012.162284928003"/>
    <m/>
    <m/>
    <m/>
    <m/>
  </r>
  <r>
    <n v="732"/>
    <x v="0"/>
    <s v="ХРИСТО КОСТАДИНОВ ТОЛЧЕВ"/>
    <x v="3"/>
    <s v="Монтаж"/>
    <n v="690.25"/>
    <n v="0"/>
    <n v="232.64"/>
    <n v="102.26"/>
    <n v="922.89"/>
    <n v="716.16264000000001"/>
    <n v="818.42264"/>
    <n v="9821.0716800000009"/>
    <n v="1206.221018"/>
    <n v="14474.652215999999"/>
    <m/>
    <m/>
    <m/>
    <m/>
  </r>
  <r>
    <n v="345"/>
    <x v="0"/>
    <s v="ЦВЕТЕЛИНА ЕМИЛОВА ТОДОРОВА"/>
    <x v="3"/>
    <s v="Монтаж"/>
    <n v="948.45"/>
    <n v="56.907000000000011"/>
    <n v="654.45000000000005"/>
    <n v="102.26"/>
    <n v="1659.8070000000002"/>
    <n v="1288.0102320000003"/>
    <n v="1390.2702320000003"/>
    <n v="16683.242784000002"/>
    <n v="2087.7211334000003"/>
    <n v="25052.653600800004"/>
    <m/>
    <m/>
    <m/>
    <m/>
  </r>
  <r>
    <n v="678"/>
    <x v="0"/>
    <s v="ЦВЕТЕЛИНА НИКОЛАЕВА УЗУНОВА"/>
    <x v="26"/>
    <s v="Общи IT"/>
    <n v="988.33"/>
    <n v="11.859960000000001"/>
    <n v="329.78"/>
    <n v="102.26"/>
    <n v="1329.9699599999999"/>
    <n v="1032.05668896"/>
    <n v="1134.31668896"/>
    <n v="13611.80026752"/>
    <n v="1693.1700661519999"/>
    <n v="20318.040793823999"/>
    <m/>
    <m/>
    <m/>
    <m/>
  </r>
  <r>
    <n v="656"/>
    <x v="0"/>
    <s v="ЦВЕТЕЛИНА ТОШЕВА МУЕВСКА-ПЕТРОВА"/>
    <x v="18"/>
    <s v="Производство"/>
    <n v="986.8"/>
    <n v="5.920799999999999"/>
    <n v="463.23"/>
    <n v="102.26"/>
    <n v="1455.9508000000001"/>
    <n v="1129.8178208000002"/>
    <n v="1232.0778208000002"/>
    <n v="14784.933849600002"/>
    <n v="1843.8683469600001"/>
    <n v="22126.420163520001"/>
    <m/>
    <m/>
    <m/>
    <m/>
  </r>
  <r>
    <n v="15"/>
    <x v="0"/>
    <s v="ЩИРЯНА РАДОЕВА ПАПАЗОВА"/>
    <x v="19"/>
    <s v="Спедиция"/>
    <n v="715.81"/>
    <n v="146.02523999999997"/>
    <n v="386.03"/>
    <n v="102.26"/>
    <n v="1247.8652399999999"/>
    <n v="968.34342623999987"/>
    <n v="1070.6034262399999"/>
    <n v="12847.241114879998"/>
    <n v="1594.9564000879998"/>
    <n v="19139.476801055996"/>
    <m/>
    <m/>
    <m/>
    <m/>
  </r>
  <r>
    <n v="515"/>
    <x v="0"/>
    <s v="ЮЛИАНА ДИМИТРОВА МАНДОВА"/>
    <x v="3"/>
    <s v="Монтаж"/>
    <n v="639.12"/>
    <n v="34.512480000000004"/>
    <n v="173"/>
    <n v="102.26"/>
    <n v="846.63247999999999"/>
    <n v="656.98680448000005"/>
    <n v="759.24680448000004"/>
    <n v="9110.9616537600014"/>
    <n v="1115.0017725759999"/>
    <n v="13380.021270911999"/>
    <m/>
    <m/>
    <m/>
    <m/>
  </r>
  <r>
    <n v="12"/>
    <x v="0"/>
    <s v="ЯВОР ЕМИЛОВ БОРИСОВ"/>
    <x v="26"/>
    <s v="Общи IT"/>
    <n v="810.4"/>
    <n v="131.28479999999999"/>
    <n v="872.78"/>
    <n v="102.26"/>
    <n v="1814.4648"/>
    <n v="1408.0246847999999"/>
    <n v="1510.2846847999999"/>
    <n v="18123.416217599999"/>
    <n v="2272.7227937600001"/>
    <n v="27272.673525120001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s v="АЛБЕНА ДИМИТРОВА ПЕТРОВА"/>
    <x v="0"/>
  </r>
  <r>
    <s v="АНГЕЛ ДИМИТРОВ ДИМИТРОВ"/>
    <x v="1"/>
  </r>
  <r>
    <s v="АНДРЕЙ ТОДОРОВ СТРАТЕВ"/>
    <x v="2"/>
  </r>
  <r>
    <s v="АННА ЛЮБЕНОВА УМУРСКА"/>
    <x v="3"/>
  </r>
  <r>
    <s v="АНТОАНЕТА ЕЛИНОВА КАЛНИЦКА"/>
    <x v="3"/>
  </r>
  <r>
    <s v="АНТОНИО ПЕТРОВ АЛЕКСАНДРОВ"/>
    <x v="4"/>
  </r>
  <r>
    <s v="АСЯ МАРИНОВА ШИВАЧЕВА"/>
    <x v="5"/>
  </r>
  <r>
    <s v="АТАНАС ВАСИЛЕВ ЖЕКОВ"/>
    <x v="6"/>
  </r>
  <r>
    <s v="АТАНАС ГЕОРГИЕВ МИХАЙЛОВ"/>
    <x v="4"/>
  </r>
  <r>
    <s v="АТАНАС ДИМИТРОВ ВАСИЛЕВ"/>
    <x v="2"/>
  </r>
  <r>
    <s v="АТАНАС ИВАНОВ ГОЛЕВСКИ"/>
    <x v="7"/>
  </r>
  <r>
    <s v="АТАНАСКА ГЕОРГИЕВА ШОПСКА"/>
    <x v="3"/>
  </r>
  <r>
    <s v="БИНКА ГЕОРГИЕВА ДЖОГЛЕВА"/>
    <x v="2"/>
  </r>
  <r>
    <s v="БИСТРА ГЕНЧЕВА ТИТЕВА"/>
    <x v="3"/>
  </r>
  <r>
    <s v="БОЯН НИКОДИМОВ ПЕТРОВ"/>
    <x v="8"/>
  </r>
  <r>
    <s v="ВАЛЕНТИН ЙОРДАНОВ ДРУНДЕВ"/>
    <x v="4"/>
  </r>
  <r>
    <s v="ВЕНЦИСЛАВ ПЕТРОВ ЧАУШЕВ"/>
    <x v="7"/>
  </r>
  <r>
    <s v="ВЕСЕЛИН ИВАНОВ ЦВЕТКОВ"/>
    <x v="9"/>
  </r>
  <r>
    <s v="ВЕСЕЛИН ХРИСТОВ СТОЙЧЕВ"/>
    <x v="7"/>
  </r>
  <r>
    <s v="ВИЛИЧКА ТОДОРОВА БАЙРЕВА"/>
    <x v="3"/>
  </r>
  <r>
    <s v="ГАЛИН ГЕОРГИЕВ ХРИСТОВ"/>
    <x v="10"/>
  </r>
  <r>
    <s v="ГАЛИНА СТЕФАНОВА ТОШЕВА"/>
    <x v="3"/>
  </r>
  <r>
    <s v="ГЕНКА СТОЯНОВА ЯНКОЛОВА"/>
    <x v="3"/>
  </r>
  <r>
    <s v="ГЕОРГИ АЛЕКСАНДРОВ АДОВ"/>
    <x v="10"/>
  </r>
  <r>
    <s v="ГЕОРГИ АТАНАСОВ МИХАЙЛОВ"/>
    <x v="4"/>
  </r>
  <r>
    <s v="ГЕОРГИ БОЖИЛОВ БАЛДИКОВ"/>
    <x v="1"/>
  </r>
  <r>
    <s v="ГЕОРГИ ДЕЛОВ ГЕОРГИЕВ"/>
    <x v="3"/>
  </r>
  <r>
    <s v="ГЕОРГИ ИВАНОВ ГЕОРГИЕВ"/>
    <x v="4"/>
  </r>
  <r>
    <s v="ГЕОРГИ ИВАНОВ СТОЯНОВ"/>
    <x v="3"/>
  </r>
  <r>
    <s v="ГЕОРГИ ИЛИЕВ АТАНАСОВ"/>
    <x v="11"/>
  </r>
  <r>
    <s v="ГЕОРГИ НИКОЛОВ ВЪЛЧЕВ"/>
    <x v="4"/>
  </r>
  <r>
    <s v="ГЕОРГИ ПАВЛОВ ФАКЛИЕВ"/>
    <x v="4"/>
  </r>
  <r>
    <s v="ГЕОРГИ СТАНЧЕВ ПУЛЕВ"/>
    <x v="7"/>
  </r>
  <r>
    <s v="ГЕОРГИ СТОЯНОВ ХРИСТАКОВ"/>
    <x v="4"/>
  </r>
  <r>
    <s v="ГЕРГАНА СТОЕВА КЛЕЧКОВА"/>
    <x v="3"/>
  </r>
  <r>
    <s v="ГЪЛЪБИНА НИКОЛОВА ПАЙТАКОВА"/>
    <x v="3"/>
  </r>
  <r>
    <s v="ДАНИЕЛ ТОДОРОВ ТОДОРОВ"/>
    <x v="2"/>
  </r>
  <r>
    <s v="ДЕНИЦА КРАСИМИРОВА ВЛАШКА"/>
    <x v="12"/>
  </r>
  <r>
    <s v="ДЕНЮ ЦВЯТКОВ ЦВЕТКОВ"/>
    <x v="7"/>
  </r>
  <r>
    <s v="ДИАНА АЛЬОШЕВА ДАВИДОВА"/>
    <x v="4"/>
  </r>
  <r>
    <s v="ДИАНА БОРИСОВА МИЦОВА"/>
    <x v="12"/>
  </r>
  <r>
    <s v="ДИМА АТАНАСОВА ГЪЛЪБОВА"/>
    <x v="13"/>
  </r>
  <r>
    <s v="ДИМИТЪР АЛЕКСОВ МИЛЕВ"/>
    <x v="3"/>
  </r>
  <r>
    <s v="ДИМИТЪР ГЕОРГИЕВ ПЕРНИЧЕВ"/>
    <x v="4"/>
  </r>
  <r>
    <s v="ДИМИТЪР ИВАНОВ ВАСИЛЕВ"/>
    <x v="14"/>
  </r>
  <r>
    <s v="ДИМИТЪР НИКОЛАЕВ ПИСОВ"/>
    <x v="2"/>
  </r>
  <r>
    <s v="ДИМИТЪР ПРОКОПИЕВ ДИМИТРОВ"/>
    <x v="9"/>
  </r>
  <r>
    <s v="ДИМИТЪР ЯСЕНОВ МЛАДЕНОВ"/>
    <x v="7"/>
  </r>
  <r>
    <s v="ДОНКА ПЕТРОВА КРЪСТАНОВА"/>
    <x v="15"/>
  </r>
  <r>
    <s v="ЕВГЕНИ ИВАНОВ ДИМОВ"/>
    <x v="4"/>
  </r>
  <r>
    <s v="ЕЛЕНА БЛАГОЕВА СТЕФАНОВА"/>
    <x v="3"/>
  </r>
  <r>
    <s v="ЕМИЛ ГЕОРГИЕВ ЧОРБАДЖИЙСКИ"/>
    <x v="7"/>
  </r>
  <r>
    <s v="ЖЮЛИЕН РОЛАН-АН РИШЬО"/>
    <x v="16"/>
  </r>
  <r>
    <s v="ЗАПРЯН РАНГЕЛОВ ТОНЕВ"/>
    <x v="4"/>
  </r>
  <r>
    <s v="ЗЛАТОМИР ПЛАМЕНОВ ГЕОРГИЕВ"/>
    <x v="10"/>
  </r>
  <r>
    <s v="ИВАЙЛО НЕНКОВ НЕНОВ"/>
    <x v="17"/>
  </r>
  <r>
    <s v="ИВАЙЛО ТИХОМИРОВ БОНДЖЕВ"/>
    <x v="18"/>
  </r>
  <r>
    <s v="ИВАН БОЖИЛОВ БАЛДИКОВ"/>
    <x v="19"/>
  </r>
  <r>
    <s v="ИВАН ВАСКОВ ДИМИТРОВ"/>
    <x v="4"/>
  </r>
  <r>
    <s v="ИВАН СТАНЧЕВ ВАРДАЖИЕВ"/>
    <x v="17"/>
  </r>
  <r>
    <s v="ИВАН СТОЯНОВ ПАЙТАКОВ"/>
    <x v="20"/>
  </r>
  <r>
    <s v="ИВАНКА АТАНАСОВА ПАНОВА"/>
    <x v="3"/>
  </r>
  <r>
    <s v="ИВАНКА НЕДЕЛЬОВА ИВАНЧЕВА"/>
    <x v="3"/>
  </r>
  <r>
    <s v="ИЛИЯН КОСТАДИНОВ ЛОВЧАЛИЕВ"/>
    <x v="4"/>
  </r>
  <r>
    <s v="ЙОНАТАН ЙЕЖИ СТОЯЛОВСКИ"/>
    <x v="8"/>
  </r>
  <r>
    <s v="ЙОРДАН ПЕЕВ ЙОРДАНОВ"/>
    <x v="20"/>
  </r>
  <r>
    <s v="ЙОРДАНКА БЛАГОВА ЗЛАТИНОВА"/>
    <x v="3"/>
  </r>
  <r>
    <s v="ЙОРДАНКА ГЕОРГИЕВА ПОПОВА"/>
    <x v="3"/>
  </r>
  <r>
    <s v="ЙОРДАНКА НИКОЛАЕВА СУМОВА"/>
    <x v="15"/>
  </r>
  <r>
    <s v="КАРАМФИЛ НЕДКОВ КАДИЕВ"/>
    <x v="7"/>
  </r>
  <r>
    <s v="КОЛЬО ВАСИЛЕВ КОЛЕВ"/>
    <x v="7"/>
  </r>
  <r>
    <s v="КОСТАДИН ВАЛЕНТИНОВ МУДЕВ"/>
    <x v="2"/>
  </r>
  <r>
    <s v="КОСТАДИН ДИМИТРОВ МИХАЙЛОВ"/>
    <x v="1"/>
  </r>
  <r>
    <s v="КРАСИМИРА ГАНЧЕВА ДАСКАЛОВА"/>
    <x v="3"/>
  </r>
  <r>
    <s v="КЪНЧО ГЕОРГИЕВ КРЪСТЕВ"/>
    <x v="3"/>
  </r>
  <r>
    <s v="ЛАЗАРИНКА СТОИМЕНОВА ДЖОГЛЕВА"/>
    <x v="21"/>
  </r>
  <r>
    <s v="ЛЕОН НИКОЛАЕВ ВЪЛЧЕВ"/>
    <x v="22"/>
  </r>
  <r>
    <s v="ЛЪЧЕЗАР ВИКТОРОВ ИНДАРОВ"/>
    <x v="10"/>
  </r>
  <r>
    <s v="МАРИАНА СТОЯНОВА НИКОЛОВА"/>
    <x v="13"/>
  </r>
  <r>
    <s v="МАРИН ВАСИЛЕВ СТАНУЛОВ"/>
    <x v="4"/>
  </r>
  <r>
    <s v="МАРИНА ИВАНОВА СЛАВОВА"/>
    <x v="12"/>
  </r>
  <r>
    <s v="МАРИЯ ДЕЛЯНОВА ДИМОВА"/>
    <x v="12"/>
  </r>
  <r>
    <s v="МАРИЯ ИВАНОВА ПАШКУЛЕВА"/>
    <x v="5"/>
  </r>
  <r>
    <s v="МАРИЯ КРАСИМИРОВА СТОЯНОВА"/>
    <x v="0"/>
  </r>
  <r>
    <s v="МАРИЯ ЛУКОВА РУСИНОВА"/>
    <x v="3"/>
  </r>
  <r>
    <s v="МАРИЯ МАНАСТИРЛИ"/>
    <x v="23"/>
  </r>
  <r>
    <s v="МАРИЯ-АНТОНИЯ СТЕФАНОВА ПИСОВА"/>
    <x v="3"/>
  </r>
  <r>
    <s v="МАРИЯЛУИЗА НИКОЛОВА ДРЕНКОВА"/>
    <x v="3"/>
  </r>
  <r>
    <s v="МИЛЕН АТАНАСОВ СТАНКИН"/>
    <x v="4"/>
  </r>
  <r>
    <s v="МИЛЕН БОРИСЛАВОВ ВАСИЛЕВ"/>
    <x v="20"/>
  </r>
  <r>
    <s v="МИЛЕНА ИЛИЕВА ТЕРЗИЕВА"/>
    <x v="21"/>
  </r>
  <r>
    <s v="МИЛИЦА ВАЛЕНТИНОВА ИВАНОВА"/>
    <x v="15"/>
  </r>
  <r>
    <s v="МИНКА ЦОНОВА ЛАТЕВА"/>
    <x v="3"/>
  </r>
  <r>
    <s v="МИРОСЛАВ ГЕОРГИЕВ КОСТОВ"/>
    <x v="10"/>
  </r>
  <r>
    <s v="МИРОСЛАВ ИВАНОВ АТАНАСОВ"/>
    <x v="10"/>
  </r>
  <r>
    <s v="МИХАИЛ НИКОЛАЕВИЧ СТОЛЕЙКОВ"/>
    <x v="1"/>
  </r>
  <r>
    <s v="НАДКА ИВАНОВА ЕНЕВА"/>
    <x v="2"/>
  </r>
  <r>
    <s v="НАТАЛИЯ НИКОЛАЕВНА БРЕЗОВА"/>
    <x v="3"/>
  </r>
  <r>
    <s v="НАТАЛИЯ СТЕФАНОВА ПЕТРОВА"/>
    <x v="3"/>
  </r>
  <r>
    <s v="НЕДЕЛЧО НАНКОВ ВЪЛКОВ"/>
    <x v="24"/>
  </r>
  <r>
    <s v="НЕДЯЛКА ЙОРДАНОВА ВОЙНИШКА"/>
    <x v="2"/>
  </r>
  <r>
    <s v="НЕДЯЛКО ДОБРЕВ КОЗАЛИЕВ"/>
    <x v="22"/>
  </r>
  <r>
    <s v="НИКОЛА АЛЕКСАНДРОВ ДАДАРКОВ"/>
    <x v="13"/>
  </r>
  <r>
    <s v="НИКОЛА СТОИЛОВ ГУНЧЕВ"/>
    <x v="7"/>
  </r>
  <r>
    <s v="НИКОЛИНКА ДИМИТРОВА АНГЕЛОВА"/>
    <x v="3"/>
  </r>
  <r>
    <s v="ОРЕЛИЕН ЖАН-МАРИ МАТЮ"/>
    <x v="16"/>
  </r>
  <r>
    <s v="ПАВЛИН НЕНОВ ЯЛЪМОВ"/>
    <x v="4"/>
  </r>
  <r>
    <s v="ПЕНКА АСЕНОВА ДИМИТРОВА"/>
    <x v="3"/>
  </r>
  <r>
    <s v="ПЕНКО СТАНЧЕВ ПУЛЕВ"/>
    <x v="7"/>
  </r>
  <r>
    <s v="ПЕТКО ИВАНОВ ДАРАДЖАНСКИ"/>
    <x v="3"/>
  </r>
  <r>
    <s v="ПЕТКО-ХРИСТО АПОСТОЛОВ ИВАНОВ"/>
    <x v="1"/>
  </r>
  <r>
    <s v="ПЕТЪР ИВАНОВ РАШКОВ"/>
    <x v="2"/>
  </r>
  <r>
    <s v="ПЕТЯ ВАНКОВА НЕНОВСКА"/>
    <x v="12"/>
  </r>
  <r>
    <s v="ПЕТЯ ВЪЛКОВА ПАШКУЛЕВА"/>
    <x v="3"/>
  </r>
  <r>
    <s v="ПОЛИНА МИТКОВА ИЛИЕВА"/>
    <x v="0"/>
  </r>
  <r>
    <s v="РАДКА ДИМОВА ИЛИЕВА"/>
    <x v="3"/>
  </r>
  <r>
    <s v="РАДОСЛАВ ДАНЧОВ ПАСТЪРМАДЖИЕВ"/>
    <x v="4"/>
  </r>
  <r>
    <s v="РОСИЦА ИЛИЕВА МИТРЕНОВА"/>
    <x v="3"/>
  </r>
  <r>
    <s v="РОСИЦА ЙОРДАНОВА МИТРЕВА"/>
    <x v="3"/>
  </r>
  <r>
    <s v="РОСИЦА КОНСТАНТИНОВА ВАСИЛЕВА"/>
    <x v="3"/>
  </r>
  <r>
    <s v="РУМЯНА СТЕФАНОВА ИВАНОВА"/>
    <x v="8"/>
  </r>
  <r>
    <s v="САХАК ОВАНЕС ЕФЕНДИЯН"/>
    <x v="4"/>
  </r>
  <r>
    <s v="СЕРАФИМ НИКОЛАЕВ АЯНСКИ"/>
    <x v="16"/>
  </r>
  <r>
    <s v="СИМЕОН СТАНИМИРОВ СИМЕОНОВ"/>
    <x v="2"/>
  </r>
  <r>
    <s v="СИРИЛ ЖЕРЕМИ ДЮПИР"/>
    <x v="24"/>
  </r>
  <r>
    <s v="СНЕЖАНА ДАНЧЕВА ВЪЛКОВА"/>
    <x v="3"/>
  </r>
  <r>
    <s v="СТЕФАН ГЕОРГИЕВ ШОТЛЕКОВ"/>
    <x v="3"/>
  </r>
  <r>
    <s v="СТЕФАН ИВАНОВ ГЕНОВ"/>
    <x v="8"/>
  </r>
  <r>
    <s v="СТЕФАН ИЛИНОВ НИКОЛОВ"/>
    <x v="4"/>
  </r>
  <r>
    <s v="СТЕФАН ПЕТРОВ ПЕТРОВ"/>
    <x v="19"/>
  </r>
  <r>
    <s v="СТЕФКА ДИМИТРОВА ЗОЕВА"/>
    <x v="3"/>
  </r>
  <r>
    <s v="СТОИМЕН ИВАНОВ СТОЙЧЕВ"/>
    <x v="2"/>
  </r>
  <r>
    <s v="СТОЙЧО МИЛКОВ СТОЕВ"/>
    <x v="13"/>
  </r>
  <r>
    <s v="СТОЮ АСПАРУХОВ КЛЕЧКОВ"/>
    <x v="4"/>
  </r>
  <r>
    <s v="СТОЮ ИВАНОВ РУНТЕВ"/>
    <x v="2"/>
  </r>
  <r>
    <s v="СТОЯНКА ВЛАДИМИРОВА МАТЕВА"/>
    <x v="3"/>
  </r>
  <r>
    <s v="СТОЯНКА РАНГЕЛОВА ИВАНОВА"/>
    <x v="3"/>
  </r>
  <r>
    <s v="СТОЯНКА СТОЙЧЕВА ДЖОГЛОВА"/>
    <x v="3"/>
  </r>
  <r>
    <s v="ТАНЯ АРГИРОВА ТЕРЗИЕВА"/>
    <x v="3"/>
  </r>
  <r>
    <s v="ТАНЯ СТОИЛОВА ШАЛСКА"/>
    <x v="3"/>
  </r>
  <r>
    <s v="ТЕОДОР НИКОЛАЕВ ПОПИНСКИ"/>
    <x v="13"/>
  </r>
  <r>
    <s v="ТЕОДОРА МАРИНОВА ВАСИЛЕВА"/>
    <x v="3"/>
  </r>
  <r>
    <s v="ТИХОМИР ПЕТРОВ ТЕНЕВ"/>
    <x v="18"/>
  </r>
  <r>
    <s v="ТОДОР АНГЕЛОВ ФИЛИПОВ"/>
    <x v="4"/>
  </r>
  <r>
    <s v="ТОДОР ДИМИТРОВ БОЕВ"/>
    <x v="4"/>
  </r>
  <r>
    <s v="ХРИСТИНА АНГЕЛОВА ЗГУРОВА"/>
    <x v="21"/>
  </r>
  <r>
    <s v="ХРИСТО КОСТАДИНОВ ТОЛЧЕВ"/>
    <x v="3"/>
  </r>
  <r>
    <s v="ЦВЕТЕЛИНА ЕМИЛОВА ТОДОРОВА"/>
    <x v="3"/>
  </r>
  <r>
    <s v="ЦВЕТЕЛИНА НИКОЛАЕВА УЗУНОВА"/>
    <x v="25"/>
  </r>
  <r>
    <s v="ЦВЕТЕЛИНА ТОШЕВА МУЕВСКА-ПЕТРОВА"/>
    <x v="17"/>
  </r>
  <r>
    <s v="ЩИРЯНА РАДОЕВА ПАПАЗОВА"/>
    <x v="18"/>
  </r>
  <r>
    <s v="ЮЛИАНА ДИМИТРОВА МАНДОВА"/>
    <x v="3"/>
  </r>
  <r>
    <s v="ЮЛИЯ СТОЯНОВА ПУНГЕРОВА"/>
    <x v="3"/>
  </r>
  <r>
    <s v="ЯВОР ЕМИЛОВ БОРИСОВ"/>
    <x v="2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n v="144"/>
    <x v="0"/>
    <s v="АЛБЕНА ДИМИТРОВА ПЕТРОВА"/>
    <n v="5400"/>
    <x v="0"/>
    <n v="1431.62"/>
    <n v="206.15327999999997"/>
    <n v="357.9"/>
    <n v="102.26"/>
    <n v="1995.67328"/>
    <n v="1548.6424652800001"/>
    <n v="1650.9024652800001"/>
    <n v="19810.829583360002"/>
    <n v="2489.484377536"/>
    <n v="29873.812530431998"/>
    <m/>
    <m/>
    <m/>
    <m/>
    <m/>
  </r>
  <r>
    <n v="66"/>
    <x v="0"/>
    <s v="АНГЕЛ ДИМИТРОВ ДИМИТРОВ"/>
    <n v="1400"/>
    <x v="1"/>
    <n v="639.12"/>
    <n v="46.016640000000002"/>
    <n v="546.57000000000005"/>
    <n v="102.26"/>
    <n v="1231.7066400000001"/>
    <n v="955.80435264000016"/>
    <n v="1058.0643526400002"/>
    <n v="12696.772231680003"/>
    <n v="1575.6274827680002"/>
    <n v="18907.529793216003"/>
    <m/>
    <m/>
    <m/>
    <m/>
    <m/>
  </r>
  <r>
    <n v="748"/>
    <x v="0"/>
    <s v="АНДРЕЙ ТОДОРОВ СТРАТЕВ"/>
    <n v="1200"/>
    <x v="2"/>
    <n v="675.01"/>
    <n v="0"/>
    <n v="412.2"/>
    <n v="102.26"/>
    <n v="1087.21"/>
    <n v="843.67496000000006"/>
    <n v="945.93496000000005"/>
    <n v="11351.219520000001"/>
    <n v="1402.780602"/>
    <n v="16833.367224000001"/>
    <m/>
    <m/>
    <m/>
    <m/>
    <m/>
  </r>
  <r>
    <n v="753"/>
    <x v="0"/>
    <s v="АННА ЛЮБЕНОВА УМУРСКА"/>
    <n v="1600"/>
    <x v="3"/>
    <n v="737"/>
    <n v="0"/>
    <n v="123.84"/>
    <n v="102.26"/>
    <n v="860.84"/>
    <n v="668.01184000000001"/>
    <n v="770.27184"/>
    <n v="9243.2620800000004"/>
    <n v="1131.9968080000001"/>
    <n v="13583.961696000002"/>
    <m/>
    <m/>
    <m/>
    <m/>
    <m/>
  </r>
  <r>
    <n v="747"/>
    <x v="0"/>
    <s v="АНТОАНЕТА ЕЛИНОВА КАЛНИЦКА"/>
    <n v="1600"/>
    <x v="3"/>
    <n v="639.12"/>
    <n v="0"/>
    <n v="85.67"/>
    <n v="102.26"/>
    <n v="724.79"/>
    <n v="562.43704000000002"/>
    <n v="664.69704000000002"/>
    <n v="7976.3644800000002"/>
    <n v="969.25379799999996"/>
    <n v="11631.045576"/>
    <m/>
    <m/>
    <m/>
    <m/>
    <m/>
  </r>
  <r>
    <n v="648"/>
    <x v="0"/>
    <s v="АНТОНИО ПЕТРОВ АЛЕКСАНДРОВ"/>
    <n v="1300"/>
    <x v="4"/>
    <n v="741.38"/>
    <n v="4.4482799999999996"/>
    <n v="378.87"/>
    <n v="102.26"/>
    <n v="1124.6982800000001"/>
    <n v="872.76586528000007"/>
    <n v="975.02586528000006"/>
    <n v="11700.31038336"/>
    <n v="1447.6240825360001"/>
    <n v="17371.488990432001"/>
    <m/>
    <m/>
    <m/>
    <m/>
    <m/>
  </r>
  <r>
    <n v="263"/>
    <x v="0"/>
    <s v="АСЯ МАРИНОВА ШИВАЧЕВА"/>
    <n v="4400"/>
    <x v="5"/>
    <n v="945.89"/>
    <n v="90.805440000000004"/>
    <n v="561.4"/>
    <n v="102.26"/>
    <n v="1598.0954400000001"/>
    <n v="1240.1220614400002"/>
    <n v="1342.3820614400001"/>
    <n v="16108.584737280002"/>
    <n v="2013.901765328"/>
    <n v="24166.821183936001"/>
    <m/>
    <m/>
    <m/>
    <m/>
    <m/>
  </r>
  <r>
    <n v="719"/>
    <x v="0"/>
    <s v="АТАНАС ВАСИЛЕВ ЖЕКОВ"/>
    <n v="3900"/>
    <x v="6"/>
    <n v="741.38"/>
    <n v="17.793119999999998"/>
    <n v="365.57"/>
    <n v="102.26"/>
    <n v="1124.7431200000001"/>
    <n v="872.80066112000009"/>
    <n v="975.06066112000008"/>
    <n v="11700.727933440001"/>
    <n v="1447.6777201440002"/>
    <n v="17372.132641728003"/>
    <m/>
    <m/>
    <m/>
    <m/>
    <m/>
  </r>
  <r>
    <n v="67"/>
    <x v="0"/>
    <s v="АТАНАС ГЕОРГИЕВ МИХАЙЛОВ"/>
    <n v="1300"/>
    <x v="4"/>
    <n v="986.8"/>
    <n v="71.049599999999998"/>
    <n v="277.63"/>
    <n v="102.26"/>
    <n v="1335.4796000000001"/>
    <n v="1036.3321696"/>
    <n v="1138.5921696"/>
    <n v="13663.1060352"/>
    <n v="1699.7606975200001"/>
    <n v="20397.128370240003"/>
    <m/>
    <m/>
    <m/>
    <m/>
    <m/>
  </r>
  <r>
    <n v="615"/>
    <x v="0"/>
    <s v="АТАНАС ДИМИТРОВ ВАСИЛЕВ"/>
    <n v="1200"/>
    <x v="2"/>
    <n v="790.97"/>
    <n v="47.458199999999998"/>
    <n v="269.95999999999998"/>
    <n v="102.26"/>
    <n v="1108.3882000000001"/>
    <n v="860.10924320000015"/>
    <n v="962.36924320000014"/>
    <n v="11548.430918400001"/>
    <n v="1428.1139648400001"/>
    <n v="17137.36757808"/>
    <m/>
    <m/>
    <m/>
    <m/>
    <m/>
  </r>
  <r>
    <n v="465"/>
    <x v="0"/>
    <s v="АТАНАС ИВАНОВ ГОЛЕВСКИ"/>
    <n v="2100"/>
    <x v="7"/>
    <n v="940.78"/>
    <n v="152.40635999999998"/>
    <n v="175.5"/>
    <n v="102.26"/>
    <n v="1268.6863599999999"/>
    <n v="984.50061535999998"/>
    <n v="1086.76061536"/>
    <n v="13041.12738432"/>
    <n v="1619.8626238319998"/>
    <n v="19438.351485984"/>
    <m/>
    <m/>
    <m/>
    <m/>
    <m/>
  </r>
  <r>
    <n v="608"/>
    <x v="0"/>
    <s v="АТАНАСКА ГЕОРГИЕВА ШОПСКА"/>
    <n v="1600"/>
    <x v="3"/>
    <n v="639.12"/>
    <n v="26.843040000000002"/>
    <n v="71.86"/>
    <n v="102.26"/>
    <n v="737.82303999999999"/>
    <n v="572.55067903999998"/>
    <n v="674.81067903999997"/>
    <n v="8097.7281484799996"/>
    <n v="984.84392044800006"/>
    <n v="11818.127045376001"/>
    <m/>
    <m/>
    <m/>
    <m/>
    <m/>
  </r>
  <r>
    <n v="55"/>
    <x v="0"/>
    <s v="БИНКА ГЕОРГИЕВА ДЖОГЛЕВА"/>
    <n v="1200"/>
    <x v="2"/>
    <n v="674.91"/>
    <n v="48.593519999999998"/>
    <n v="202.21"/>
    <n v="102.26"/>
    <n v="925.71352000000002"/>
    <n v="718.35369151999998"/>
    <n v="820.61369151999997"/>
    <n v="9847.3642982399997"/>
    <n v="1209.598512624"/>
    <n v="14515.182151487999"/>
    <m/>
    <m/>
    <m/>
    <m/>
    <m/>
  </r>
  <r>
    <n v="6"/>
    <x v="0"/>
    <s v="БИСТРА ГЕНЧЕВА ТИТЕВА"/>
    <n v="1600"/>
    <x v="3"/>
    <n v="639.12"/>
    <n v="76.694400000000002"/>
    <n v="88.25"/>
    <n v="102.26"/>
    <n v="804.06439999999998"/>
    <n v="623.95397439999999"/>
    <n v="726.21397439999998"/>
    <n v="8714.5676927999993"/>
    <n v="1064.08183528"/>
    <n v="12768.98202336"/>
    <m/>
    <m/>
    <m/>
    <m/>
    <m/>
  </r>
  <r>
    <n v="697"/>
    <x v="0"/>
    <s v="БОЯН НИКОДИМОВ ПЕТРОВ"/>
    <n v="3200"/>
    <x v="8"/>
    <n v="792.51"/>
    <n v="14.265180000000001"/>
    <n v="323.14"/>
    <n v="102.26"/>
    <n v="1129.91518"/>
    <n v="876.81417968000005"/>
    <n v="979.07417968000004"/>
    <n v="11748.89015616"/>
    <n v="1453.8645383160001"/>
    <n v="17446.374459792001"/>
    <m/>
    <m/>
    <m/>
    <m/>
    <m/>
  </r>
  <r>
    <n v="736"/>
    <x v="0"/>
    <s v="ВАЛЕНТИН ЙОРДАНОВ ДРУНДЕВ"/>
    <n v="1300"/>
    <x v="4"/>
    <n v="155.94999999999999"/>
    <n v="0"/>
    <n v="0"/>
    <n v="102.26"/>
    <n v="155.94999999999999"/>
    <n v="140.35"/>
    <n v="242.61"/>
    <n v="2911.32"/>
    <n v="258.20999999999998"/>
    <n v="3098.5199999999995"/>
    <m/>
    <m/>
    <m/>
    <m/>
    <m/>
  </r>
  <r>
    <n v="713"/>
    <x v="0"/>
    <s v="ВЕНЦИСЛАВ ПЕТРОВ ЧАУШЕВ"/>
    <n v="2100"/>
    <x v="7"/>
    <n v="935.67"/>
    <n v="39.298139999999997"/>
    <n v="282.74"/>
    <n v="102.26"/>
    <n v="1257.70814"/>
    <n v="975.98151664"/>
    <n v="1078.2415166400001"/>
    <n v="12938.898199680001"/>
    <n v="1606.730477068"/>
    <n v="19280.765724815999"/>
    <m/>
    <m/>
    <m/>
    <m/>
    <m/>
  </r>
  <r>
    <n v="660"/>
    <x v="0"/>
    <s v="ВЕСЕЛИН ИВАНОВ ЦВЕТКОВ"/>
    <n v="6410"/>
    <x v="9"/>
    <n v="1135.07"/>
    <n v="115.77713999999997"/>
    <n v="285.3"/>
    <n v="102.26"/>
    <n v="1536.1471399999998"/>
    <n v="1192.0501806399998"/>
    <n v="1294.3101806399998"/>
    <n v="15531.722167679996"/>
    <n v="1939.7992088679998"/>
    <n v="23277.590506415996"/>
    <m/>
    <m/>
    <m/>
    <m/>
    <m/>
  </r>
  <r>
    <n v="52"/>
    <x v="0"/>
    <s v="ВЕСЕЛИН ХРИСТОВ СТОЙЧЕВ"/>
    <n v="2100"/>
    <x v="7"/>
    <n v="915.22"/>
    <n v="131.79168000000001"/>
    <n v="1068.5999999999999"/>
    <n v="102.26"/>
    <n v="2115.61168"/>
    <n v="1642.16"/>
    <n v="1744.42"/>
    <n v="20933.04"/>
    <n v="2632.9546916159998"/>
    <n v="31595.456299391997"/>
    <m/>
    <m/>
    <m/>
    <m/>
    <m/>
  </r>
  <r>
    <n v="673"/>
    <x v="0"/>
    <s v="ВИЛИЧКА ТОДОРОВА БАЙРЕВА"/>
    <n v="1600"/>
    <x v="3"/>
    <n v="737"/>
    <n v="8.8439999999999994"/>
    <n v="242.51"/>
    <n v="102.26"/>
    <n v="988.35400000000004"/>
    <n v="766.96270400000003"/>
    <n v="869.22270400000002"/>
    <n v="10430.672448000001"/>
    <n v="1284.5290548"/>
    <n v="15414.3486576"/>
    <m/>
    <m/>
    <m/>
    <m/>
    <m/>
  </r>
  <r>
    <n v="580"/>
    <x v="0"/>
    <s v="ГАЛИН ГЕОРГИЕВ ХРИСТОВ"/>
    <n v="2220"/>
    <x v="10"/>
    <n v="1037.93"/>
    <n v="56.048220000000008"/>
    <n v="777.16"/>
    <n v="102.26"/>
    <n v="1871.1382199999998"/>
    <n v="1452.0032587199998"/>
    <n v="1554.2632587199998"/>
    <n v="18651.159104639999"/>
    <n v="2340.5155387639998"/>
    <n v="28086.186465167997"/>
    <m/>
    <m/>
    <m/>
    <m/>
    <m/>
  </r>
  <r>
    <n v="682"/>
    <x v="0"/>
    <s v="ГАЛИНА СТЕФАНОВА ТОШЕВА"/>
    <n v="1600"/>
    <x v="3"/>
    <n v="639.12"/>
    <n v="65.190239999999989"/>
    <n v="126.98"/>
    <n v="102.26"/>
    <n v="831.29024000000004"/>
    <n v="645.08122624000009"/>
    <n v="747.34122624000008"/>
    <n v="8968.0947148800005"/>
    <n v="1096.6493850880001"/>
    <n v="13159.792621056002"/>
    <m/>
    <m/>
    <m/>
    <m/>
    <m/>
  </r>
  <r>
    <n v="566"/>
    <x v="0"/>
    <s v="ГЕНКА СТОЯНОВА ЯНКОЛОВА"/>
    <n v="1600"/>
    <x v="3"/>
    <n v="639.12"/>
    <n v="53.686080000000004"/>
    <n v="58.25"/>
    <n v="102.26"/>
    <n v="751.05608000000007"/>
    <n v="582.81951808000008"/>
    <n v="685.07951808000007"/>
    <n v="8220.9542169600008"/>
    <n v="1000.673282896"/>
    <n v="12008.079394752"/>
    <m/>
    <m/>
    <m/>
    <m/>
    <m/>
  </r>
  <r>
    <n v="708"/>
    <x v="0"/>
    <s v="ГЕОРГИ АЛЕКСАНДРОВ АДОВ"/>
    <n v="2220"/>
    <x v="10"/>
    <n v="1237.33"/>
    <n v="74.239800000000002"/>
    <n v="343.59"/>
    <n v="102.26"/>
    <n v="1655.1597999999999"/>
    <n v="1284.4040047999999"/>
    <n v="1386.6640047999999"/>
    <n v="16639.968057599999"/>
    <n v="2082.16215276"/>
    <n v="24985.94583312"/>
    <m/>
    <m/>
    <m/>
    <m/>
    <m/>
  </r>
  <r>
    <n v="368"/>
    <x v="0"/>
    <s v="ГЕОРГИ АТАНАСОВ МИХАЙЛОВ"/>
    <n v="1300"/>
    <x v="4"/>
    <n v="741.38"/>
    <n v="40.034520000000001"/>
    <n v="209.63"/>
    <n v="102.26"/>
    <n v="991.04452000000003"/>
    <n v="769.05054752000001"/>
    <n v="871.31054752"/>
    <n v="10455.72657024"/>
    <n v="1287.747454824"/>
    <n v="15452.969457888001"/>
    <m/>
    <m/>
    <m/>
    <m/>
    <m/>
  </r>
  <r>
    <n v="239"/>
    <x v="0"/>
    <s v="ГЕОРГИ БОЖИЛОВ БАЛДИКОВ"/>
    <n v="1400"/>
    <x v="1"/>
    <n v="838.52"/>
    <n v="60.373440000000002"/>
    <n v="248.67"/>
    <n v="102.26"/>
    <n v="1147.5634399999999"/>
    <n v="890.5092294399999"/>
    <n v="992.76922943999989"/>
    <n v="11913.230753279999"/>
    <n v="1474.9753869279998"/>
    <n v="17699.704643136"/>
    <m/>
    <m/>
    <m/>
    <m/>
    <m/>
  </r>
  <r>
    <n v="741"/>
    <x v="0"/>
    <s v="ГЕОРГИ ДЕЛОВ ГЕОРГИЕВ"/>
    <n v="1600"/>
    <x v="3"/>
    <n v="690.25"/>
    <n v="0"/>
    <n v="232.64"/>
    <n v="102.26"/>
    <n v="922.89"/>
    <n v="716.16264000000001"/>
    <n v="818.42264"/>
    <n v="9821.0716800000009"/>
    <n v="1206.221018"/>
    <n v="14474.652215999999"/>
    <m/>
    <m/>
    <m/>
    <m/>
    <m/>
  </r>
  <r>
    <n v="738"/>
    <x v="0"/>
    <s v="ГЕОРГИ ИВАНОВ ГЕОРГИЕВ"/>
    <n v="1300"/>
    <x v="4"/>
    <n v="792.51"/>
    <n v="57.060720000000003"/>
    <n v="205.03"/>
    <n v="102.26"/>
    <n v="1054.6007199999999"/>
    <n v="818.37015871999995"/>
    <n v="920.63015871999994"/>
    <n v="11047.561904639999"/>
    <n v="1363.7733812639999"/>
    <n v="16365.280575167999"/>
    <m/>
    <m/>
    <m/>
    <m/>
    <m/>
  </r>
  <r>
    <n v="726"/>
    <x v="0"/>
    <s v="ГЕОРГИ ИВАНОВ СТОЯНОВ"/>
    <n v="1600"/>
    <x v="3"/>
    <n v="741.38"/>
    <n v="0"/>
    <n v="247.47"/>
    <n v="102.26"/>
    <n v="988.85"/>
    <n v="767.34760000000006"/>
    <n v="869.60760000000005"/>
    <n v="10435.2912"/>
    <n v="1285.12237"/>
    <n v="15421.468440000001"/>
    <m/>
    <m/>
    <m/>
    <m/>
    <m/>
  </r>
  <r>
    <n v="231"/>
    <x v="0"/>
    <s v="ГЕОРГИ ИЛИЕВ АТАНАСОВ"/>
    <n v="4500"/>
    <x v="11"/>
    <n v="690.25"/>
    <n v="49.698"/>
    <n v="1208.18"/>
    <n v="102.26"/>
    <n v="1948.1280000000002"/>
    <n v="1511.7473280000002"/>
    <n v="1614.0073280000001"/>
    <n v="19368.087936000004"/>
    <n v="2432.6107136000001"/>
    <n v="29191.328563200001"/>
    <m/>
    <m/>
    <m/>
    <m/>
    <m/>
  </r>
  <r>
    <n v="610"/>
    <x v="0"/>
    <s v="ГЕОРГИ НИКОЛОВ ВЪЛЧЕВ"/>
    <n v="1300"/>
    <x v="4"/>
    <n v="986.8"/>
    <n v="112.49520000000001"/>
    <n v="296.55"/>
    <n v="102.26"/>
    <n v="1395.8452"/>
    <n v="1083.1758752000001"/>
    <n v="1185.4358752000001"/>
    <n v="14225.230502400002"/>
    <n v="1771.9700282399999"/>
    <n v="21263.640338879999"/>
    <m/>
    <m/>
    <m/>
    <m/>
    <m/>
  </r>
  <r>
    <n v="751"/>
    <x v="0"/>
    <s v="ГЕОРГИ ПАВЛОВ ФАКЛИЕВ"/>
    <n v="1300"/>
    <x v="4"/>
    <n v="987"/>
    <n v="0"/>
    <n v="265.68"/>
    <n v="102.26"/>
    <n v="1252.68"/>
    <n v="972.07968000000005"/>
    <n v="1074.33968"/>
    <n v="12892.076160000001"/>
    <n v="1600.7158160000001"/>
    <n v="19208.589792000002"/>
    <m/>
    <m/>
    <m/>
    <m/>
    <m/>
  </r>
  <r>
    <n v="623"/>
    <x v="0"/>
    <s v="ГЕОРГИ СТАНЧЕВ ПУЛЕВ"/>
    <n v="2100"/>
    <x v="7"/>
    <n v="715.81"/>
    <n v="12.884579999999998"/>
    <n v="856.93"/>
    <n v="102.26"/>
    <n v="1585.6245799999999"/>
    <n v="1230.4446740799999"/>
    <n v="1332.7046740799999"/>
    <n v="15992.45608896"/>
    <n v="1998.9841225959999"/>
    <n v="23987.809471151999"/>
    <m/>
    <m/>
    <m/>
    <m/>
    <m/>
  </r>
  <r>
    <n v="745"/>
    <x v="0"/>
    <s v="ГЕОРГИ СТОЯНОВ ХРИСТАКОВ"/>
    <n v="1300"/>
    <x v="4"/>
    <n v="1083.94"/>
    <n v="32.5182"/>
    <n v="333.36"/>
    <n v="102.26"/>
    <n v="1449.8182000000002"/>
    <n v="1125.0589232000002"/>
    <n v="1227.3189232000002"/>
    <n v="14727.827078400001"/>
    <n v="1836.5325308400002"/>
    <n v="22038.39037008"/>
    <m/>
    <m/>
    <m/>
    <m/>
    <m/>
  </r>
  <r>
    <n v="756"/>
    <x v="0"/>
    <s v="ГЕРГАНА СТОЕВА КЛЕЧКОВА"/>
    <n v="1600"/>
    <x v="3"/>
    <n v="640"/>
    <n v="0"/>
    <n v="85.53"/>
    <n v="102.26"/>
    <n v="725.53"/>
    <n v="563.01127999999994"/>
    <n v="665.27127999999993"/>
    <n v="7983.2553599999992"/>
    <n v="970.13898599999993"/>
    <n v="11641.667831999999"/>
    <m/>
    <m/>
    <m/>
    <m/>
    <m/>
  </r>
  <r>
    <n v="404"/>
    <x v="0"/>
    <s v="ГЪЛЪБИНА НИКОЛОВА ПАЙТАКОВА"/>
    <n v="1600"/>
    <x v="3"/>
    <n v="639.12"/>
    <n v="30.677759999999999"/>
    <n v="88.25"/>
    <n v="102.26"/>
    <n v="758.04776000000004"/>
    <n v="588.24506176"/>
    <n v="690.50506175999999"/>
    <n v="8286.0607411199999"/>
    <n v="1009.0367305120001"/>
    <n v="12108.440766144002"/>
    <m/>
    <m/>
    <m/>
    <m/>
    <m/>
  </r>
  <r>
    <n v="277"/>
    <x v="0"/>
    <s v="ДАНИЕЛ ТОДОРОВ ТОДОРОВ"/>
    <n v="1200"/>
    <x v="2"/>
    <n v="664.68"/>
    <n v="43.86887999999999"/>
    <n v="887.6"/>
    <n v="102.26"/>
    <n v="1596.14888"/>
    <n v="1238.6115308799999"/>
    <n v="1340.8715308799999"/>
    <n v="16090.458370559998"/>
    <n v="2011.5732902559998"/>
    <n v="24138.879483072"/>
    <m/>
    <m/>
    <m/>
    <m/>
    <m/>
  </r>
  <r>
    <n v="644"/>
    <x v="0"/>
    <s v="ДЕНИЦА КРАСИМИРОВА ВЛАШКА"/>
    <n v="3500"/>
    <x v="12"/>
    <n v="971.46"/>
    <n v="69.945120000000003"/>
    <n v="0"/>
    <n v="102.26"/>
    <n v="1041.4051200000001"/>
    <n v="808.13037312000017"/>
    <n v="910.39037312000016"/>
    <n v="10924.684477440002"/>
    <n v="1347.9888045440002"/>
    <n v="16175.865654528003"/>
    <m/>
    <m/>
    <m/>
    <m/>
    <m/>
  </r>
  <r>
    <n v="472"/>
    <x v="0"/>
    <s v="ДЕНЮ ЦВЯТКОВ ЦВЕТКОВ"/>
    <n v="2100"/>
    <x v="7"/>
    <n v="715.81"/>
    <n v="42.948599999999999"/>
    <n v="414.15"/>
    <n v="102.26"/>
    <n v="1172.9085999999998"/>
    <n v="910.17707359999986"/>
    <n v="1012.4370735999998"/>
    <n v="12149.244883199997"/>
    <n v="1505.2932673199998"/>
    <n v="18063.51920784"/>
    <m/>
    <m/>
    <m/>
    <m/>
    <m/>
  </r>
  <r>
    <n v="542"/>
    <x v="0"/>
    <s v="ДИАНА АЛЬОШЕВА ДАВИДОВА"/>
    <n v="1300"/>
    <x v="4"/>
    <n v="790.97"/>
    <n v="23.729099999999999"/>
    <n v="381.42"/>
    <n v="102.26"/>
    <n v="1196.1191000000001"/>
    <n v="928.18842160000008"/>
    <n v="1030.4484216000001"/>
    <n v="12365.381059200001"/>
    <n v="1533.0576674200001"/>
    <n v="18396.692009040002"/>
    <m/>
    <m/>
    <m/>
    <m/>
    <m/>
  </r>
  <r>
    <n v="494"/>
    <x v="0"/>
    <s v="ДИАНА БОРИСОВА МИЦОВА"/>
    <n v="3500"/>
    <x v="12"/>
    <n v="792.51"/>
    <n v="42.795540000000003"/>
    <n v="499.53"/>
    <n v="102.26"/>
    <n v="1334.83554"/>
    <n v="1035.83237904"/>
    <n v="1138.09237904"/>
    <n v="13657.108548479999"/>
    <n v="1698.990272948"/>
    <n v="20387.883275376"/>
    <m/>
    <m/>
    <m/>
    <m/>
    <m/>
  </r>
  <r>
    <n v="677"/>
    <x v="0"/>
    <s v="ДИМА АТАНАСОВА ГЪЛЪБОВА"/>
    <n v="1800"/>
    <x v="13"/>
    <n v="639.12"/>
    <n v="80.529120000000006"/>
    <n v="280.19"/>
    <n v="102.26"/>
    <n v="999.83912000000009"/>
    <n v="775.87515712000004"/>
    <n v="878.13515712000003"/>
    <n v="10537.621885439999"/>
    <n v="1298.2675553440001"/>
    <n v="15579.210664128001"/>
    <m/>
    <m/>
    <m/>
    <m/>
    <m/>
  </r>
  <r>
    <n v="665"/>
    <x v="0"/>
    <s v="ДИМИТЪР АЛЕКСОВ МИЛЕВ"/>
    <n v="1680"/>
    <x v="3"/>
    <n v="1027.7"/>
    <n v="12.3324"/>
    <n v="332.34"/>
    <n v="102.26"/>
    <n v="1372.3724"/>
    <n v="1064.9609823999999"/>
    <n v="1167.2209823999999"/>
    <n v="14006.651788799998"/>
    <n v="1743.89186488"/>
    <n v="20926.702378559999"/>
    <m/>
    <m/>
    <m/>
    <m/>
    <m/>
  </r>
  <r>
    <n v="704"/>
    <x v="0"/>
    <s v="ДИМИТЪР ГЕОРГИЕВ ПЕРНИЧЕВ"/>
    <n v="1300"/>
    <x v="4"/>
    <n v="792.51"/>
    <n v="4.7550599999999994"/>
    <n v="393.18"/>
    <n v="102.26"/>
    <n v="1190.44506"/>
    <n v="923.78536656000006"/>
    <n v="1026.04536656"/>
    <n v="12312.544398720001"/>
    <n v="1526.270380772"/>
    <n v="18315.244569263999"/>
    <m/>
    <m/>
    <m/>
    <m/>
    <m/>
  </r>
  <r>
    <n v="703"/>
    <x v="0"/>
    <s v="ДИМИТЪР ИВАНОВ ВАСИЛЕВ"/>
    <n v="5700"/>
    <x v="14"/>
    <n v="2326.38"/>
    <n v="251.24904000000004"/>
    <n v="570.09"/>
    <n v="102.26"/>
    <n v="3147.7190400000004"/>
    <n v="2571.06"/>
    <n v="2673.32"/>
    <n v="32079.840000000004"/>
    <n v="3867.5615156480007"/>
    <n v="46410.738187776005"/>
    <m/>
    <m/>
    <m/>
    <m/>
    <m/>
  </r>
  <r>
    <n v="650"/>
    <x v="0"/>
    <s v="ДИМИТЪР НИКОЛАЕВ ПИСОВ"/>
    <n v="1200"/>
    <x v="2"/>
    <n v="674.91"/>
    <n v="12.14838"/>
    <n v="609.95000000000005"/>
    <n v="102.26"/>
    <n v="1297.00838"/>
    <n v="1006.4785028800001"/>
    <n v="1108.7385028800002"/>
    <n v="13304.862034560003"/>
    <n v="1653.741424156"/>
    <n v="19844.897089872"/>
    <m/>
    <m/>
    <m/>
    <m/>
    <m/>
  </r>
  <r>
    <n v="46"/>
    <x v="0"/>
    <s v="ДИМИТЪР ПРОКОПИЕВ ДИМИТРОВ"/>
    <n v="6410"/>
    <x v="9"/>
    <n v="641.16999999999996"/>
    <n v="107.71655999999999"/>
    <n v="567.02"/>
    <n v="102.26"/>
    <n v="1315.9065599999999"/>
    <n v="1021.1434905599999"/>
    <n v="1123.4034905599999"/>
    <n v="13480.841886719998"/>
    <n v="1676.3474270719998"/>
    <n v="20116.169124863998"/>
    <m/>
    <m/>
    <m/>
    <m/>
    <m/>
  </r>
  <r>
    <n v="327"/>
    <x v="0"/>
    <s v="ДИМИТЪР ЯСЕНОВ МЛАДЕНОВ"/>
    <n v="2100"/>
    <x v="7"/>
    <n v="715.81"/>
    <n v="42.948599999999999"/>
    <n v="1048.1500000000001"/>
    <n v="102.26"/>
    <n v="1806.9086"/>
    <n v="1402.1610736"/>
    <n v="1504.4210736"/>
    <n v="18053.052883199998"/>
    <n v="2263.6840673199999"/>
    <n v="27164.208807839997"/>
    <m/>
    <m/>
    <m/>
    <m/>
    <m/>
  </r>
  <r>
    <n v="742"/>
    <x v="0"/>
    <s v="ДОНКА ПЕТРОВА КРЪСТАНОВА"/>
    <n v="5500"/>
    <x v="15"/>
    <n v="1175.98"/>
    <n v="35.279400000000003"/>
    <n v="370.18"/>
    <n v="102.26"/>
    <n v="1581.4394"/>
    <n v="1227.1969744"/>
    <n v="1329.4569744"/>
    <n v="15953.4836928"/>
    <n v="1993.9778102800001"/>
    <n v="23927.733723360001"/>
    <m/>
    <m/>
    <m/>
    <m/>
    <m/>
  </r>
  <r>
    <n v="737"/>
    <x v="0"/>
    <s v="ЕВГЕНИ ИВАНОВ ДИМОВ"/>
    <n v="1300"/>
    <x v="4"/>
    <n v="155.94999999999999"/>
    <n v="0"/>
    <n v="0"/>
    <n v="102.26"/>
    <n v="155.94999999999999"/>
    <n v="140.35"/>
    <n v="242.61"/>
    <n v="2911.32"/>
    <n v="258.20999999999998"/>
    <n v="3098.5199999999995"/>
    <m/>
    <m/>
    <m/>
    <m/>
    <m/>
  </r>
  <r>
    <n v="275"/>
    <x v="0"/>
    <s v="ЕЛЕНА БЛАГОЕВА СТЕФАНОВА"/>
    <n v="1600"/>
    <x v="3"/>
    <n v="639.12"/>
    <n v="42.181919999999998"/>
    <n v="88.25"/>
    <n v="102.26"/>
    <n v="769.55192"/>
    <n v="597.17228992000003"/>
    <n v="699.43228992000002"/>
    <n v="8393.1874790399997"/>
    <n v="1022.798006704"/>
    <n v="12273.576080448001"/>
    <m/>
    <m/>
    <m/>
    <m/>
    <m/>
  </r>
  <r>
    <n v="393"/>
    <x v="0"/>
    <s v="ЕМИЛ ГЕОРГИЕВ ЧОРБАДЖИЙСКИ"/>
    <n v="2100"/>
    <x v="7"/>
    <n v="915.22"/>
    <n v="49.421880000000002"/>
    <n v="584.91999999999996"/>
    <n v="102.26"/>
    <n v="1549.56188"/>
    <n v="1202.46001888"/>
    <n v="1304.72001888"/>
    <n v="15656.640226560001"/>
    <n v="1955.845920856"/>
    <n v="23470.151050272001"/>
    <m/>
    <m/>
    <m/>
    <m/>
    <m/>
  </r>
  <r>
    <n v="711"/>
    <x v="0"/>
    <s v="ЖЮЛИЕН РОЛАН-АН РИШЬО"/>
    <n v="4600"/>
    <x v="16"/>
    <n v="2965.5"/>
    <n v="177.93"/>
    <n v="1238.3499999999999"/>
    <n v="102.26"/>
    <n v="4381.78"/>
    <n v="3681.71"/>
    <n v="3783.9700000000003"/>
    <n v="45407.64"/>
    <n v="5343.7452359999997"/>
    <n v="64124.942832000001"/>
    <m/>
    <m/>
    <m/>
    <m/>
    <m/>
  </r>
  <r>
    <n v="282"/>
    <x v="0"/>
    <s v="ЗАПРЯН РАНГЕЛОВ ТОНЕВ"/>
    <n v="1300"/>
    <x v="4"/>
    <n v="986.8"/>
    <n v="65.128799999999998"/>
    <n v="605.37"/>
    <n v="102.26"/>
    <n v="1657.2988"/>
    <n v="1286.0638688000001"/>
    <n v="1388.3238688000001"/>
    <n v="16659.886425600002"/>
    <n v="2084.72082456"/>
    <n v="25016.649894720002"/>
    <m/>
    <m/>
    <m/>
    <m/>
    <m/>
  </r>
  <r>
    <n v="692"/>
    <x v="0"/>
    <s v="ЗЛАТОМИР ПЛАМЕНОВ ГЕОРГИЕВ"/>
    <n v="2220"/>
    <x v="10"/>
    <n v="1523.65"/>
    <n v="82.277100000000004"/>
    <n v="423.86"/>
    <n v="102.26"/>
    <n v="2029.7871"/>
    <n v="1575.1147896"/>
    <n v="1677.3747896"/>
    <n v="20128.497475199998"/>
    <n v="2530.2913290199999"/>
    <n v="30363.495948240001"/>
    <m/>
    <m/>
    <m/>
    <m/>
    <m/>
  </r>
  <r>
    <n v="172"/>
    <x v="0"/>
    <s v="ИВАЙЛО НЕНКОВ НЕНОВ"/>
    <n v="1000"/>
    <x v="17"/>
    <n v="2096.3000000000002"/>
    <n v="176.08920000000001"/>
    <n v="478.57"/>
    <n v="102.26"/>
    <n v="2750.9592000000002"/>
    <n v="2213.9699999999998"/>
    <n v="2316.23"/>
    <n v="27794.760000000002"/>
    <n v="3392.9573950400004"/>
    <n v="40715.488740480003"/>
    <m/>
    <m/>
    <m/>
    <m/>
    <m/>
  </r>
  <r>
    <n v="658"/>
    <x v="0"/>
    <s v="ИВАЙЛО ТИХОМИРОВ БОНДЖЕВ"/>
    <n v="4300"/>
    <x v="18"/>
    <n v="1227.1099999999999"/>
    <n v="51.538620000000002"/>
    <n v="522.54"/>
    <n v="102.26"/>
    <n v="1801.1886199999999"/>
    <n v="1397.7223691199999"/>
    <n v="1499.9823691199999"/>
    <n v="17999.788429439999"/>
    <n v="2256.8418272439999"/>
    <n v="27082.101926928"/>
    <m/>
    <m/>
    <m/>
    <m/>
    <m/>
  </r>
  <r>
    <n v="228"/>
    <x v="0"/>
    <s v="ИВАН БОЖИЛОВ БАЛДИКОВ"/>
    <n v="1100"/>
    <x v="19"/>
    <n v="674.91"/>
    <n v="48.593519999999998"/>
    <n v="453.17"/>
    <n v="102.26"/>
    <n v="1176.6735200000001"/>
    <n v="913.09865152000009"/>
    <n v="1015.3586515200001"/>
    <n v="12184.303818240001"/>
    <n v="1509.7968646240001"/>
    <n v="18117.562375488"/>
    <m/>
    <m/>
    <m/>
    <m/>
    <m/>
  </r>
  <r>
    <n v="669"/>
    <x v="0"/>
    <s v="ИВАН ВАСКОВ ДИМИТРОВ"/>
    <n v="1300"/>
    <x v="4"/>
    <n v="790.97"/>
    <n v="9.4916400000000003"/>
    <n v="263.83"/>
    <n v="102.26"/>
    <n v="1064.2916399999999"/>
    <n v="825.89031263999993"/>
    <n v="928.15031263999992"/>
    <n v="11137.80375168"/>
    <n v="1375.3656597679999"/>
    <n v="16504.387917215998"/>
    <m/>
    <m/>
    <m/>
    <m/>
    <m/>
  </r>
  <r>
    <n v="633"/>
    <x v="0"/>
    <s v="ИВАН СТАНЧЕВ ВАРДАЖИЕВ"/>
    <n v="1000"/>
    <x v="17"/>
    <n v="2224.12"/>
    <n v="106.75776"/>
    <n v="1274.1400000000001"/>
    <n v="102.26"/>
    <n v="3605.0177599999997"/>
    <n v="2982.63"/>
    <n v="3084.8900000000003"/>
    <n v="37018.680000000008"/>
    <n v="4414.5822445119993"/>
    <n v="52974.986934143992"/>
    <m/>
    <m/>
    <m/>
    <m/>
    <m/>
  </r>
  <r>
    <n v="244"/>
    <x v="0"/>
    <s v="ИВАН СТОЯНОВ ПАЙТАКОВ"/>
    <n v="6110"/>
    <x v="20"/>
    <n v="741.38"/>
    <n v="22.241399999999999"/>
    <n v="245.42"/>
    <n v="102.26"/>
    <n v="1009.0414"/>
    <n v="783.01612639999996"/>
    <n v="885.27612639999995"/>
    <n v="10623.313516799999"/>
    <n v="1309.27532268"/>
    <n v="15711.303872160001"/>
    <m/>
    <m/>
    <m/>
    <m/>
    <m/>
  </r>
  <r>
    <n v="632"/>
    <x v="0"/>
    <s v="ИВАНКА АТАНАСОВА ПАНОВА"/>
    <n v="1600"/>
    <x v="3"/>
    <n v="639.12"/>
    <n v="42.181919999999998"/>
    <n v="57.57"/>
    <n v="102.26"/>
    <n v="738.87192000000005"/>
    <n v="573.36460992000002"/>
    <n v="675.62460992000001"/>
    <n v="8107.4953190400001"/>
    <n v="986.09859070400012"/>
    <n v="11833.183088448"/>
    <m/>
    <m/>
    <m/>
    <m/>
    <m/>
  </r>
  <r>
    <n v="508"/>
    <x v="0"/>
    <s v="ИВАНКА НЕДЕЛЬОВА ИВАНЧЕВА"/>
    <n v="1600"/>
    <x v="3"/>
    <n v="639.12"/>
    <n v="88.198560000000001"/>
    <n v="0"/>
    <n v="102.26"/>
    <n v="727.31856000000005"/>
    <n v="564.39920256000005"/>
    <n v="666.65920256000004"/>
    <n v="7999.9104307200005"/>
    <n v="972.27846147200012"/>
    <n v="11667.341537664"/>
    <m/>
    <m/>
    <m/>
    <m/>
    <m/>
  </r>
  <r>
    <n v="752"/>
    <x v="0"/>
    <s v="ИЛИЯН КОСТАДИНОВ ЛОВЧАЛИЕВ"/>
    <n v="1300"/>
    <x v="4"/>
    <n v="795"/>
    <n v="4.7699999999999996"/>
    <n v="320.39999999999998"/>
    <n v="102.26"/>
    <n v="1120.17"/>
    <n v="869.25192000000004"/>
    <n v="971.51192000000003"/>
    <n v="11658.143040000001"/>
    <n v="1442.2073540000001"/>
    <n v="17306.488248000001"/>
    <m/>
    <m/>
    <m/>
    <m/>
    <m/>
  </r>
  <r>
    <n v="216"/>
    <x v="0"/>
    <s v="ЙОНАТАН ЙЕЖИ СТОЯЛОВСКИ"/>
    <n v="3200"/>
    <x v="8"/>
    <n v="639.12"/>
    <n v="46.016639999999995"/>
    <n v="411.59"/>
    <n v="102.26"/>
    <n v="1096.7266399999999"/>
    <n v="851.05987263999987"/>
    <n v="953.31987263999986"/>
    <n v="11439.838471679999"/>
    <n v="1414.1644067679999"/>
    <n v="16969.972881215999"/>
    <m/>
    <m/>
    <m/>
    <m/>
    <m/>
  </r>
  <r>
    <n v="643"/>
    <x v="0"/>
    <s v="ЙОРДАН ПЕЕВ ЙОРДАНОВ"/>
    <n v="6110"/>
    <x v="20"/>
    <n v="664.68"/>
    <n v="31.904639999999993"/>
    <n v="197"/>
    <n v="102.26"/>
    <n v="893.58463999999992"/>
    <n v="693.42168063999998"/>
    <n v="795.68168063999997"/>
    <n v="9548.1801676799987"/>
    <n v="1171.1659463679998"/>
    <n v="14053.991356415998"/>
    <m/>
    <m/>
    <m/>
    <m/>
    <m/>
  </r>
  <r>
    <n v="754"/>
    <x v="0"/>
    <s v="ЙОРДАНКА БЛАГОВА ЗЛАТИНОВА"/>
    <n v="1600"/>
    <x v="3"/>
    <n v="640"/>
    <n v="0"/>
    <n v="85.53"/>
    <n v="102.26"/>
    <n v="725.53"/>
    <n v="563.01127999999994"/>
    <n v="665.27127999999993"/>
    <n v="7983.2553599999992"/>
    <n v="970.13898599999993"/>
    <n v="11641.667831999999"/>
    <m/>
    <m/>
    <m/>
    <m/>
    <m/>
  </r>
  <r>
    <n v="490"/>
    <x v="0"/>
    <s v="ЙОРДАНКА ГЕОРГИЕВА ПОПОВА"/>
    <n v="1600"/>
    <x v="3"/>
    <n v="639.12"/>
    <n v="23.008319999999998"/>
    <n v="184.5"/>
    <n v="102.26"/>
    <n v="846.62832000000003"/>
    <n v="656.98357632"/>
    <n v="759.24357631999999"/>
    <n v="9110.9229158399994"/>
    <n v="1114.9967963839999"/>
    <n v="13379.961556607999"/>
    <m/>
    <m/>
    <m/>
    <m/>
    <m/>
  </r>
  <r>
    <n v="670"/>
    <x v="1"/>
    <s v="ЙОРДАНКА НИКОЛАЕВА СУМОВА"/>
    <n v="5500"/>
    <x v="15"/>
    <n v="1135.07"/>
    <n v="108.96671999999998"/>
    <n v="542.01"/>
    <n v="102.26"/>
    <n v="1786.0467199999998"/>
    <n v="1385.9722547199999"/>
    <n v="1488.2322547199999"/>
    <n v="17858.787056639998"/>
    <n v="2238.7290864639999"/>
    <n v="26864.749037567999"/>
    <m/>
    <m/>
    <m/>
    <m/>
    <m/>
  </r>
  <r>
    <n v="670"/>
    <x v="0"/>
    <s v="ЙОРДАНКА НИКОЛАЕВА СУМОВА"/>
    <n v="5500"/>
    <x v="15"/>
    <n v="1135.07"/>
    <n v="108.96671999999998"/>
    <n v="806.15"/>
    <n v="102.26"/>
    <n v="2050.1867199999997"/>
    <n v="1590.9448947199999"/>
    <n v="1693.2048947199999"/>
    <n v="20318.458736639997"/>
    <n v="2554.6933544639996"/>
    <n v="30656.320253567996"/>
    <n v="0.147890868162732"/>
    <s v="нови задължения"/>
    <s v="Мария Венева"/>
    <d v="2025-12-19T00:00:00"/>
    <s v="изготвяне на заплати"/>
  </r>
  <r>
    <n v="133"/>
    <x v="0"/>
    <s v="КАРАМФИЛ НЕДКОВ КАДИЕВ"/>
    <n v="2100"/>
    <x v="7"/>
    <n v="915.22"/>
    <n v="131.79168000000001"/>
    <n v="548.62"/>
    <n v="102.26"/>
    <n v="1595.63168"/>
    <n v="1238.21018368"/>
    <n v="1340.47018368"/>
    <n v="16085.64220416"/>
    <n v="2010.954615616"/>
    <n v="24131.455387392001"/>
    <m/>
    <m/>
    <m/>
    <m/>
    <m/>
  </r>
  <r>
    <n v="396"/>
    <x v="0"/>
    <s v="КОЛЬО ВАСИЛЕВ КОЛЕВ"/>
    <n v="2100"/>
    <x v="7"/>
    <n v="715.81"/>
    <n v="60.128039999999999"/>
    <n v="409.03"/>
    <n v="102.26"/>
    <n v="1184.96804"/>
    <n v="919.53519903999995"/>
    <n v="1021.7951990399999"/>
    <n v="12261.54238848"/>
    <n v="1519.7187694479999"/>
    <n v="18236.625233375999"/>
    <m/>
    <m/>
    <m/>
    <m/>
    <m/>
  </r>
  <r>
    <n v="537"/>
    <x v="0"/>
    <s v="КОСТАДИН ВАЛЕНТИНОВ МУДЕВ"/>
    <n v="1200"/>
    <x v="2"/>
    <n v="664.68"/>
    <n v="23.92848"/>
    <n v="839.03"/>
    <n v="102.26"/>
    <n v="1527.6384800000001"/>
    <n v="1185.44746048"/>
    <n v="1287.70746048"/>
    <n v="15452.48952576"/>
    <n v="1929.621149776"/>
    <n v="23155.453797312002"/>
    <m/>
    <m/>
    <m/>
    <m/>
    <m/>
  </r>
  <r>
    <n v="506"/>
    <x v="0"/>
    <s v="КОСТАДИН ДИМИТРОВ МИХАЙЛОВ"/>
    <n v="1400"/>
    <x v="1"/>
    <n v="838.52"/>
    <n v="45.280079999999998"/>
    <n v="195.73"/>
    <n v="102.26"/>
    <n v="1079.53008"/>
    <n v="837.71534208000003"/>
    <n v="939.97534208000002"/>
    <n v="11279.704104960001"/>
    <n v="1393.5938816960002"/>
    <n v="16723.126580352"/>
    <m/>
    <m/>
    <m/>
    <m/>
    <m/>
  </r>
  <r>
    <n v="587"/>
    <x v="0"/>
    <s v="КРАСИМИРА ГАНЧЕВА ДАСКАЛОВА"/>
    <n v="1600"/>
    <x v="3"/>
    <n v="639.12"/>
    <n v="15.33888"/>
    <n v="184.5"/>
    <n v="102.26"/>
    <n v="838.95888000000002"/>
    <n v="651.03209088000006"/>
    <n v="753.29209088000005"/>
    <n v="9039.5050905600001"/>
    <n v="1105.822612256"/>
    <n v="13269.871347071999"/>
    <m/>
    <m/>
    <m/>
    <m/>
    <m/>
  </r>
  <r>
    <n v="688"/>
    <x v="0"/>
    <s v="КЪНЧО ГЕОРГИЕВ КРЪСТЕВ"/>
    <n v="1600"/>
    <x v="3"/>
    <n v="641.67999999999995"/>
    <n v="7.7001599999999994"/>
    <n v="313.42"/>
    <n v="102.26"/>
    <n v="962.80016000000001"/>
    <n v="747.13292416000002"/>
    <n v="849.39292416000001"/>
    <n v="10192.715089920001"/>
    <n v="1253.961551392"/>
    <n v="15047.538616704001"/>
    <m/>
    <m/>
    <m/>
    <m/>
    <m/>
  </r>
  <r>
    <n v="637"/>
    <x v="0"/>
    <s v="ЛАЗАРИНКА СТОИМЕНОВА ДЖОГЛЕВА"/>
    <n v="3110"/>
    <x v="21"/>
    <n v="715.81"/>
    <n v="55.833179999999992"/>
    <n v="0"/>
    <n v="102.26"/>
    <n v="771.64317999999992"/>
    <n v="598.79510768"/>
    <n v="701.05510767999999"/>
    <n v="8412.661292159999"/>
    <n v="1025.2995719159999"/>
    <n v="12303.594862991999"/>
    <m/>
    <m/>
    <m/>
    <m/>
    <m/>
  </r>
  <r>
    <n v="712"/>
    <x v="0"/>
    <s v="ЛЕОН НИКОЛАЕВ ВЪЛЧЕВ"/>
    <n v="2410"/>
    <x v="22"/>
    <n v="1380.49"/>
    <n v="8.28294"/>
    <n v="460.15"/>
    <n v="102.26"/>
    <n v="1848.9229399999999"/>
    <n v="1434.7642014400001"/>
    <n v="1537.0242014400001"/>
    <n v="18444.290417280001"/>
    <n v="2313.9416208279999"/>
    <n v="27767.299449935999"/>
    <m/>
    <m/>
    <m/>
    <m/>
    <m/>
  </r>
  <r>
    <n v="749"/>
    <x v="0"/>
    <s v="ЛЪЧЕЗАР ВИКТОРОВ ИНДАРОВ"/>
    <n v="2220"/>
    <x v="10"/>
    <n v="1710.01"/>
    <n v="61.560360000000003"/>
    <n v="508"/>
    <n v="102.26"/>
    <n v="2279.5703599999997"/>
    <n v="1789.72"/>
    <n v="1891.98"/>
    <n v="22703.760000000002"/>
    <n v="2829.0820646319999"/>
    <n v="33948.984775584002"/>
    <m/>
    <m/>
    <m/>
    <m/>
    <m/>
  </r>
  <r>
    <n v="466"/>
    <x v="0"/>
    <s v="МАРИАНА СТОЯНОВА НИКОЛОВА"/>
    <n v="1800"/>
    <x v="13"/>
    <n v="639.12"/>
    <n v="26.843040000000002"/>
    <n v="233.34"/>
    <n v="102.26"/>
    <n v="899.30304000000001"/>
    <n v="697.85915904000001"/>
    <n v="800.11915904"/>
    <n v="9601.4299084800004"/>
    <n v="1178.0062964480001"/>
    <n v="14136.075557376"/>
    <m/>
    <m/>
    <m/>
    <m/>
    <m/>
  </r>
  <r>
    <n v="734"/>
    <x v="0"/>
    <s v="МАРИН ВАСИЛЕВ СТАНУЛОВ"/>
    <n v="1300"/>
    <x v="4"/>
    <n v="155.94999999999999"/>
    <n v="0"/>
    <n v="0"/>
    <n v="102.26"/>
    <n v="155.94999999999999"/>
    <n v="140.35"/>
    <n v="242.61"/>
    <n v="2911.32"/>
    <n v="258.20999999999998"/>
    <n v="3098.5199999999995"/>
    <m/>
    <m/>
    <m/>
    <m/>
    <m/>
  </r>
  <r>
    <n v="264"/>
    <x v="0"/>
    <s v="МАРИНА ИВАНОВА СЛАВОВА"/>
    <n v="3500"/>
    <x v="12"/>
    <n v="792.51"/>
    <n v="80.836019999999991"/>
    <n v="392.67"/>
    <n v="102.26"/>
    <n v="1266.01602"/>
    <n v="982.42843152"/>
    <n v="1084.68843152"/>
    <n v="13016.26117824"/>
    <n v="1616.6683631240001"/>
    <n v="19400.020357488"/>
    <m/>
    <m/>
    <m/>
    <m/>
    <m/>
  </r>
  <r>
    <n v="728"/>
    <x v="0"/>
    <s v="МАРИЯ ДЕЛЯНОВА ДИМОВА"/>
    <n v="3500"/>
    <x v="12"/>
    <n v="879.43"/>
    <n v="26.382899999999999"/>
    <n v="272.52"/>
    <n v="102.26"/>
    <n v="1178.3328999999999"/>
    <n v="914.38633039999991"/>
    <n v="1016.6463303999999"/>
    <n v="12199.755964799999"/>
    <n v="1511.7818149799998"/>
    <n v="18141.381779759999"/>
    <m/>
    <m/>
    <m/>
    <m/>
    <m/>
  </r>
  <r>
    <n v="686"/>
    <x v="0"/>
    <s v="МАРИЯ ИВАНОВА ПАШКУЛЕВА"/>
    <n v="4400"/>
    <x v="5"/>
    <n v="690.25"/>
    <n v="8.2829999999999995"/>
    <n v="429.49"/>
    <n v="102.26"/>
    <n v="1128.0230000000001"/>
    <n v="875.34584800000016"/>
    <n v="977.60584800000015"/>
    <n v="11731.270176000002"/>
    <n v="1451.6011126000003"/>
    <n v="17419.213351200004"/>
    <m/>
    <m/>
    <m/>
    <m/>
    <m/>
  </r>
  <r>
    <n v="746"/>
    <x v="0"/>
    <s v="МАРИЯ КРАСИМИРОВА СТОЯНОВА"/>
    <n v="5400"/>
    <x v="0"/>
    <n v="1124.8499999999999"/>
    <n v="53.992799999999995"/>
    <n v="337.45"/>
    <n v="102.26"/>
    <n v="1516.2927999999999"/>
    <n v="1176.6432127999999"/>
    <n v="1278.9032127999999"/>
    <n v="15346.838553599999"/>
    <n v="1916.0494473599999"/>
    <n v="22992.593368319998"/>
    <m/>
    <m/>
    <m/>
    <m/>
    <m/>
  </r>
  <r>
    <n v="740"/>
    <x v="0"/>
    <s v="МАРИЯ ЛУКОВА РУСИНОВА"/>
    <n v="1600"/>
    <x v="3"/>
    <n v="639.12"/>
    <n v="0"/>
    <n v="88.25"/>
    <n v="102.26"/>
    <n v="727.37"/>
    <n v="564.43912"/>
    <n v="666.69911999999999"/>
    <n v="8000.3894399999999"/>
    <n v="972.33999400000005"/>
    <n v="11668.079928000001"/>
    <m/>
    <m/>
    <m/>
    <m/>
    <m/>
  </r>
  <r>
    <n v="696"/>
    <x v="0"/>
    <s v="МАРИЯ МАНАСТИРЛИ"/>
    <n v="4100"/>
    <x v="23"/>
    <n v="989.35"/>
    <n v="5.9360999999999997"/>
    <n v="460.16"/>
    <n v="102.26"/>
    <n v="1455.4461000000001"/>
    <n v="1129.4261736000001"/>
    <n v="1231.6861736000001"/>
    <n v="14780.234083200001"/>
    <n v="1843.2646248200001"/>
    <n v="22119.175497840002"/>
    <m/>
    <m/>
    <m/>
    <m/>
    <m/>
  </r>
  <r>
    <n v="731"/>
    <x v="0"/>
    <s v="МАРИЯ-АНТОНИЯ СТЕФАНОВА ПИСОВА"/>
    <n v="1600"/>
    <x v="3"/>
    <n v="639.12"/>
    <n v="0"/>
    <n v="88.25"/>
    <n v="102.26"/>
    <n v="727.37"/>
    <n v="564.43912"/>
    <n v="666.69911999999999"/>
    <n v="8000.3894399999999"/>
    <n v="972.33999400000005"/>
    <n v="11668.079928000001"/>
    <m/>
    <m/>
    <m/>
    <m/>
    <m/>
  </r>
  <r>
    <n v="485"/>
    <x v="0"/>
    <s v="МАРИЯЛУИЗА НИКОЛОВА ДРЕНКОВА"/>
    <n v="1600"/>
    <x v="3"/>
    <n v="639.12"/>
    <n v="38.347200000000001"/>
    <n v="169.15"/>
    <n v="102.26"/>
    <n v="846.61720000000003"/>
    <n v="656.97494720000009"/>
    <n v="759.23494720000008"/>
    <n v="9110.8193664000009"/>
    <n v="1114.9834946400001"/>
    <n v="13379.801935680001"/>
    <m/>
    <m/>
    <m/>
    <m/>
    <m/>
  </r>
  <r>
    <n v="3"/>
    <x v="0"/>
    <s v="МИЛЕН АТАНАСОВ СТАНКИН"/>
    <n v="1300"/>
    <x v="4"/>
    <n v="741.38"/>
    <n v="53.379359999999998"/>
    <n v="204.52"/>
    <n v="102.26"/>
    <n v="999.27936"/>
    <n v="775.44078336000007"/>
    <n v="877.70078336000006"/>
    <n v="10532.409400320001"/>
    <n v="1297.597970432"/>
    <n v="15571.175645184001"/>
    <m/>
    <m/>
    <m/>
    <m/>
    <m/>
  </r>
  <r>
    <n v="705"/>
    <x v="0"/>
    <s v="МИЛЕН БОРИСЛАВОВ ВАСИЛЕВ"/>
    <n v="6110"/>
    <x v="20"/>
    <n v="639.12"/>
    <n v="3.8347199999999999"/>
    <n v="0"/>
    <n v="102.26"/>
    <n v="642.95471999999995"/>
    <n v="498.93286272"/>
    <n v="601.19286271999999"/>
    <n v="7214.3143526399999"/>
    <n v="871.36243606399989"/>
    <n v="10456.349232768"/>
    <m/>
    <m/>
    <m/>
    <m/>
    <m/>
  </r>
  <r>
    <n v="40"/>
    <x v="0"/>
    <s v="МИЛЕНА ИЛИЕВА ТЕРЗИЕВА"/>
    <n v="3110"/>
    <x v="21"/>
    <n v="986.8"/>
    <n v="213.14880000000002"/>
    <n v="153.38999999999999"/>
    <n v="102.26"/>
    <n v="1353.3388"/>
    <n v="1050.1909088"/>
    <n v="1152.4509088"/>
    <n v="13829.4109056"/>
    <n v="1721.1238725600001"/>
    <n v="20653.486470720003"/>
    <m/>
    <m/>
    <m/>
    <m/>
    <m/>
  </r>
  <r>
    <n v="655"/>
    <x v="0"/>
    <s v="МИЛИЦА ВАЛЕНТИНОВА ИВАНОВА"/>
    <n v="5500"/>
    <x v="15"/>
    <n v="1431.62"/>
    <n v="51.538319999999992"/>
    <n v="0"/>
    <n v="102.26"/>
    <n v="1483.1583199999998"/>
    <n v="1150.9308563199997"/>
    <n v="1253.1908563199997"/>
    <n v="15038.290275839998"/>
    <n v="1876.4139823839996"/>
    <n v="22516.967788607995"/>
    <m/>
    <m/>
    <m/>
    <m/>
    <m/>
  </r>
  <r>
    <n v="176"/>
    <x v="0"/>
    <s v="МИНКА ЦОНОВА ЛАТЕВА"/>
    <n v="1600"/>
    <x v="3"/>
    <n v="639.12"/>
    <n v="53.686080000000004"/>
    <n v="0"/>
    <n v="102.26"/>
    <n v="692.80608000000007"/>
    <n v="537.61751808000008"/>
    <n v="639.87751808000007"/>
    <n v="7678.5302169600009"/>
    <n v="930.9946328960001"/>
    <n v="11171.935594752002"/>
    <m/>
    <m/>
    <m/>
    <m/>
    <m/>
  </r>
  <r>
    <n v="689"/>
    <x v="0"/>
    <s v="МИРОСЛАВ ГЕОРГИЕВ КОСТОВ"/>
    <n v="2220"/>
    <x v="10"/>
    <n v="792.51"/>
    <n v="9.5101199999999988"/>
    <n v="393.69"/>
    <n v="102.26"/>
    <n v="1195.71012"/>
    <n v="927.87105311999994"/>
    <n v="1030.1310531199999"/>
    <n v="12361.57263744"/>
    <n v="1532.568445544"/>
    <n v="18390.821346527999"/>
    <m/>
    <m/>
    <m/>
    <m/>
    <m/>
  </r>
  <r>
    <n v="733"/>
    <x v="0"/>
    <s v="МИРОСЛАВ ИВАНОВ АТАНАСОВ"/>
    <n v="2220"/>
    <x v="10"/>
    <n v="1135.07"/>
    <n v="0"/>
    <n v="380.4"/>
    <n v="102.26"/>
    <n v="1515.4699999999998"/>
    <n v="1176.0047199999999"/>
    <n v="1278.2647199999999"/>
    <n v="15339.176639999998"/>
    <n v="1915.0652139999997"/>
    <n v="22980.782567999995"/>
    <m/>
    <m/>
    <m/>
    <m/>
    <m/>
  </r>
  <r>
    <n v="356"/>
    <x v="0"/>
    <s v="МИХАИЛ НИКОЛАЕВИЧ СТОЛЕЙКОВ"/>
    <n v="1400"/>
    <x v="1"/>
    <n v="741.38"/>
    <n v="40.034520000000001"/>
    <n v="169.06"/>
    <n v="102.26"/>
    <n v="950.47451999999998"/>
    <n v="737.56822752000005"/>
    <n v="839.82822752000004"/>
    <n v="10077.938730240001"/>
    <n v="1239.2176208240001"/>
    <n v="14870.611449888002"/>
    <m/>
    <m/>
    <m/>
    <m/>
    <m/>
  </r>
  <r>
    <n v="116"/>
    <x v="0"/>
    <s v="НАДКА ИВАНОВА ЕНЕВА"/>
    <n v="1200"/>
    <x v="2"/>
    <n v="674.91"/>
    <n v="68.840819999999994"/>
    <n v="187.79"/>
    <n v="102.26"/>
    <n v="931.54081999999994"/>
    <n v="722.87567632000003"/>
    <n v="825.13567632000002"/>
    <n v="9901.6281158399997"/>
    <n v="1216.5691288839998"/>
    <n v="14598.829546607998"/>
    <m/>
    <m/>
    <m/>
    <m/>
    <m/>
  </r>
  <r>
    <n v="707"/>
    <x v="0"/>
    <s v="НАТАЛИЯ НИКОЛАЕВНА БРЕЗОВА"/>
    <n v="1600"/>
    <x v="3"/>
    <n v="639.12"/>
    <n v="3.8347199999999999"/>
    <n v="184.5"/>
    <n v="102.26"/>
    <n v="827.45471999999995"/>
    <n v="642.10486272000003"/>
    <n v="744.36486272000002"/>
    <n v="8932.3783526400002"/>
    <n v="1092.061336064"/>
    <n v="13104.736032768"/>
    <m/>
    <m/>
    <m/>
    <m/>
    <m/>
  </r>
  <r>
    <n v="474"/>
    <x v="0"/>
    <s v="НАТАЛИЯ СТЕФАНОВА ПЕТРОВА"/>
    <n v="1600"/>
    <x v="3"/>
    <n v="639.12"/>
    <n v="26.843040000000002"/>
    <n v="180.66"/>
    <n v="102.26"/>
    <n v="846.62303999999995"/>
    <n v="656.97947904"/>
    <n v="759.23947903999999"/>
    <n v="9110.8737484800004"/>
    <n v="1114.990480448"/>
    <n v="13379.885765375999"/>
    <m/>
    <m/>
    <m/>
    <m/>
    <m/>
  </r>
  <r>
    <n v="667"/>
    <x v="0"/>
    <s v="НЕДЕЛЧО НАНКОВ ВЪЛКОВ"/>
    <n v="2440"/>
    <x v="24"/>
    <n v="1861.11"/>
    <n v="22.333320000000001"/>
    <n v="817.56"/>
    <n v="102.26"/>
    <n v="2701.0033199999998"/>
    <n v="2169.0100000000002"/>
    <n v="2271.2700000000004"/>
    <n v="27255.240000000005"/>
    <n v="3333.200171384"/>
    <n v="39998.402056608"/>
    <m/>
    <m/>
    <m/>
    <m/>
    <m/>
  </r>
  <r>
    <n v="289"/>
    <x v="0"/>
    <s v="НЕДЯЛКА ЙОРДАНОВА ВОЙНИШКА"/>
    <n v="1200"/>
    <x v="2"/>
    <n v="674.91"/>
    <n v="44.544060000000002"/>
    <n v="179.86"/>
    <n v="102.26"/>
    <n v="899.31406000000004"/>
    <n v="697.86771056000009"/>
    <n v="800.12771056000008"/>
    <n v="9601.5325267200005"/>
    <n v="1178.019478572"/>
    <n v="14136.233742864"/>
    <m/>
    <m/>
    <m/>
    <m/>
    <m/>
  </r>
  <r>
    <n v="248"/>
    <x v="0"/>
    <s v="НЕДЯЛКО ДОБРЕВ КОЗАЛИЕВ"/>
    <n v="2410"/>
    <x v="22"/>
    <n v="989.35"/>
    <n v="65.2971"/>
    <n v="807.84"/>
    <n v="102.26"/>
    <n v="1862.4871000000003"/>
    <n v="1445.2899896000004"/>
    <n v="1547.5499896000003"/>
    <n v="18570.599875200005"/>
    <n v="2330.1670690200003"/>
    <n v="27962.004828240002"/>
    <m/>
    <m/>
    <m/>
    <m/>
    <m/>
  </r>
  <r>
    <n v="661"/>
    <x v="0"/>
    <s v="НИКОЛА АЛЕКСАНДРОВ ДАДАРКОВ"/>
    <n v="1800"/>
    <x v="13"/>
    <n v="1089.06"/>
    <n v="52.274879999999996"/>
    <n v="420.79"/>
    <n v="102.26"/>
    <n v="1562.1248799999998"/>
    <n v="1212.2089068799999"/>
    <n v="1314.4689068799998"/>
    <n v="15773.626882559998"/>
    <n v="1970.873781456"/>
    <n v="23650.485377472"/>
    <m/>
    <m/>
    <m/>
    <m/>
    <m/>
  </r>
  <r>
    <n v="699"/>
    <x v="0"/>
    <s v="НИКОЛА СТОИЛОВ ГУНЧЕВ"/>
    <n v="2100"/>
    <x v="7"/>
    <n v="889.65"/>
    <n v="5.3378999999999994"/>
    <n v="296.55"/>
    <n v="102.26"/>
    <n v="1191.5379"/>
    <n v="924.6334104"/>
    <n v="1026.8934104"/>
    <n v="12322.7209248"/>
    <n v="1527.5776359800002"/>
    <n v="18330.931631760002"/>
    <m/>
    <m/>
    <m/>
    <m/>
    <m/>
  </r>
  <r>
    <n v="730"/>
    <x v="0"/>
    <s v="НИКОЛИНКА ДИМИТРОВА АНГЕЛОВА"/>
    <n v="1600"/>
    <x v="3"/>
    <n v="639.12"/>
    <n v="0"/>
    <n v="88.25"/>
    <n v="102.26"/>
    <n v="727.37"/>
    <n v="564.43912"/>
    <n v="666.69911999999999"/>
    <n v="8000.3894399999999"/>
    <n v="972.33999400000005"/>
    <n v="11668.079928000001"/>
    <m/>
    <m/>
    <m/>
    <m/>
    <m/>
  </r>
  <r>
    <n v="694"/>
    <x v="0"/>
    <s v="ОРЕЛИЕН ЖАН-МАРИ МАТЮ"/>
    <n v="4600"/>
    <x v="16"/>
    <n v="2116.75"/>
    <n v="25.401"/>
    <n v="949.47"/>
    <n v="102.26"/>
    <n v="3091.6210000000001"/>
    <n v="2520.5700000000002"/>
    <n v="2622.8300000000004"/>
    <n v="31473.960000000006"/>
    <n v="3800.4570401999999"/>
    <n v="45605.484482400003"/>
    <m/>
    <m/>
    <m/>
    <m/>
    <m/>
  </r>
  <r>
    <n v="334"/>
    <x v="0"/>
    <s v="ПАВЛИН НЕНОВ ЯЛЪМОВ"/>
    <n v="1300"/>
    <x v="4"/>
    <n v="790.97"/>
    <n v="75.933120000000002"/>
    <n v="131.4"/>
    <n v="102.26"/>
    <n v="998.30312000000004"/>
    <n v="774.6832211200001"/>
    <n v="876.94322112000009"/>
    <n v="10523.318653440001"/>
    <n v="1296.4301921440001"/>
    <n v="15557.162305728001"/>
    <m/>
    <m/>
    <m/>
    <m/>
    <m/>
  </r>
  <r>
    <n v="131"/>
    <x v="0"/>
    <s v="ПЕНКА АСЕНОВА ДИМИТРОВА"/>
    <n v="1600"/>
    <x v="3"/>
    <n v="639.12"/>
    <n v="69.024960000000007"/>
    <n v="88.25"/>
    <n v="102.26"/>
    <n v="796.39495999999997"/>
    <n v="618.00248896000005"/>
    <n v="720.26248896000004"/>
    <n v="8643.14986752"/>
    <n v="1054.907651152"/>
    <n v="12658.891813824001"/>
    <m/>
    <m/>
    <m/>
    <m/>
    <m/>
  </r>
  <r>
    <n v="195"/>
    <x v="0"/>
    <s v="ПЕНКО СТАНЧЕВ ПУЛЕВ"/>
    <n v="2100"/>
    <x v="7"/>
    <n v="915.22"/>
    <n v="93.352439999999987"/>
    <n v="1237.33"/>
    <n v="102.26"/>
    <n v="2245.9024399999998"/>
    <n v="1759.42"/>
    <n v="1861.68"/>
    <n v="22340.16"/>
    <n v="2788.8084987279999"/>
    <n v="33465.701984735999"/>
    <m/>
    <m/>
    <m/>
    <m/>
    <m/>
  </r>
  <r>
    <n v="750"/>
    <x v="0"/>
    <s v="ПЕТКО ИВАНОВ ДАРАДЖАНСКИ"/>
    <n v="1600"/>
    <x v="3"/>
    <n v="640"/>
    <n v="0"/>
    <n v="85.53"/>
    <n v="102.26"/>
    <n v="725.53"/>
    <n v="563.01127999999994"/>
    <n v="665.27127999999993"/>
    <n v="7983.2553599999992"/>
    <n v="970.13898599999993"/>
    <n v="11641.667831999999"/>
    <m/>
    <m/>
    <m/>
    <m/>
    <m/>
  </r>
  <r>
    <n v="246"/>
    <x v="0"/>
    <s v="ПЕТКО-ХРИСТО АПОСТОЛОВ ИВАНОВ"/>
    <n v="1400"/>
    <x v="1"/>
    <n v="715.81"/>
    <n v="47.243459999999999"/>
    <n v="1097.23"/>
    <n v="102.26"/>
    <n v="1860.2834600000001"/>
    <n v="1443.5799649600001"/>
    <n v="1545.8399649600001"/>
    <n v="18550.079579520003"/>
    <n v="2327.5310748520001"/>
    <n v="27930.372898223999"/>
    <m/>
    <m/>
    <m/>
    <m/>
    <m/>
  </r>
  <r>
    <n v="727"/>
    <x v="0"/>
    <s v="ПЕТЪР ИВАНОВ РАШКОВ"/>
    <n v="1200"/>
    <x v="2"/>
    <n v="1710.28"/>
    <n v="0"/>
    <n v="569.58000000000004"/>
    <n v="102.26"/>
    <n v="2279.86"/>
    <n v="1789.98"/>
    <n v="1892.24"/>
    <n v="22706.880000000001"/>
    <n v="2829.4285320000004"/>
    <n v="33953.142384000006"/>
    <m/>
    <m/>
    <m/>
    <m/>
    <m/>
  </r>
  <r>
    <n v="406"/>
    <x v="0"/>
    <s v="ПЕТЯ ВАНКОВА НЕНОВСКА"/>
    <n v="3500"/>
    <x v="12"/>
    <n v="792.51"/>
    <n v="38.040479999999995"/>
    <n v="632.98"/>
    <n v="102.26"/>
    <n v="1463.5304799999999"/>
    <n v="1135.6996524799999"/>
    <n v="1237.9596524799999"/>
    <n v="14855.515829759999"/>
    <n v="1852.935160176"/>
    <n v="22235.221922111999"/>
    <m/>
    <m/>
    <m/>
    <m/>
    <m/>
  </r>
  <r>
    <n v="333"/>
    <x v="0"/>
    <s v="ПЕТЯ ВЪЛКОВА ПАШКУЛЕВА"/>
    <n v="1600"/>
    <x v="3"/>
    <n v="639.12"/>
    <n v="38.347200000000001"/>
    <n v="184.5"/>
    <n v="102.26"/>
    <n v="861.96720000000005"/>
    <n v="668.88654720000011"/>
    <n v="771.1465472000001"/>
    <n v="9253.7585664000017"/>
    <n v="1133.3451646400001"/>
    <n v="13600.141975680002"/>
    <m/>
    <m/>
    <m/>
    <m/>
    <m/>
  </r>
  <r>
    <n v="603"/>
    <x v="0"/>
    <s v="ПОЛИНА МИТКОВА ИЛИЕВА"/>
    <n v="5400"/>
    <x v="0"/>
    <n v="1140.19"/>
    <n v="88.934820000000002"/>
    <n v="840.74"/>
    <n v="102.26"/>
    <n v="2069.8648199999998"/>
    <n v="1606.17"/>
    <n v="1708.43"/>
    <n v="20501.16"/>
    <n v="2578.2322976839996"/>
    <n v="30938.787572207995"/>
    <m/>
    <m/>
    <m/>
    <m/>
    <m/>
  </r>
  <r>
    <n v="338"/>
    <x v="0"/>
    <s v="РАДКА ДИМОВА ИЛИЕВА"/>
    <n v="1600"/>
    <x v="3"/>
    <n v="639.12"/>
    <n v="38.347200000000001"/>
    <n v="88.25"/>
    <n v="102.26"/>
    <n v="765.71720000000005"/>
    <n v="594.19654720000005"/>
    <n v="696.45654720000005"/>
    <n v="8357.478566400001"/>
    <n v="1018.2109146400001"/>
    <n v="12218.530975680002"/>
    <m/>
    <m/>
    <m/>
    <m/>
    <m/>
  </r>
  <r>
    <n v="735"/>
    <x v="0"/>
    <s v="РАДОСЛАВ ДАНЧОВ ПАСТЪРМАДЖИЕВ"/>
    <n v="1300"/>
    <x v="4"/>
    <n v="155.94999999999999"/>
    <n v="0"/>
    <n v="0"/>
    <n v="102.26"/>
    <n v="155.94999999999999"/>
    <n v="140.35"/>
    <n v="242.61"/>
    <n v="2911.32"/>
    <n v="258.20999999999998"/>
    <n v="3098.5199999999995"/>
    <m/>
    <m/>
    <m/>
    <m/>
    <m/>
  </r>
  <r>
    <n v="315"/>
    <x v="0"/>
    <s v="РОСИЦА ИЛИЕВА МИТРЕНОВА"/>
    <n v="1600"/>
    <x v="3"/>
    <n v="737"/>
    <n v="44.22"/>
    <n v="273.5"/>
    <n v="102.26"/>
    <n v="1054.72"/>
    <n v="818.46271999999999"/>
    <n v="920.72271999999998"/>
    <n v="11048.672640000001"/>
    <n v="1363.916064"/>
    <n v="16366.992768"/>
    <m/>
    <m/>
    <m/>
    <m/>
    <m/>
  </r>
  <r>
    <n v="616"/>
    <x v="0"/>
    <s v="РОСИЦА ЙОРДАНОВА МИТРЕВА"/>
    <n v="1600"/>
    <x v="3"/>
    <n v="639.12"/>
    <n v="26.843040000000002"/>
    <n v="0"/>
    <n v="102.26"/>
    <n v="665.96303999999998"/>
    <n v="516.78731903999994"/>
    <n v="619.04731903999993"/>
    <n v="7428.5678284799997"/>
    <n v="898.88498844800006"/>
    <n v="10786.619861376001"/>
    <m/>
    <m/>
    <m/>
    <m/>
    <m/>
  </r>
  <r>
    <n v="680"/>
    <x v="0"/>
    <s v="РОСИЦА КОНСТАНТИНОВА ВАСИЛЕВА"/>
    <n v="1600"/>
    <x v="3"/>
    <n v="639.12"/>
    <n v="26.843040000000002"/>
    <n v="69.08"/>
    <n v="102.26"/>
    <n v="735.04304000000002"/>
    <n v="570.39339904000008"/>
    <n v="672.65339904000007"/>
    <n v="8071.8407884800008"/>
    <n v="981.51848444799998"/>
    <n v="11778.221813376"/>
    <m/>
    <m/>
    <m/>
    <m/>
    <m/>
  </r>
  <r>
    <n v="250"/>
    <x v="0"/>
    <s v="РУМЯНА СТЕФАНОВА ИВАНОВА"/>
    <n v="3200"/>
    <x v="8"/>
    <n v="690.25"/>
    <n v="45.5565"/>
    <n v="530.72"/>
    <n v="102.26"/>
    <n v="1266.5264999999999"/>
    <n v="982.82456400000001"/>
    <n v="1085.084564"/>
    <n v="13021.014768000001"/>
    <n v="1617.2789992999999"/>
    <n v="19407.3479916"/>
    <m/>
    <m/>
    <m/>
    <m/>
    <m/>
  </r>
  <r>
    <n v="11"/>
    <x v="0"/>
    <s v="САХАК ОВАНЕС ЕФЕНДИЯН"/>
    <n v="1300"/>
    <x v="4"/>
    <n v="741.38"/>
    <n v="177.93119999999999"/>
    <n v="80.400000000000006"/>
    <n v="102.26"/>
    <n v="999.71119999999996"/>
    <n v="775.77589120000005"/>
    <n v="878.03589120000004"/>
    <n v="10536.4306944"/>
    <n v="1298.11453744"/>
    <n v="15577.37444928"/>
    <m/>
    <m/>
    <m/>
    <m/>
    <m/>
  </r>
  <r>
    <n v="698"/>
    <x v="0"/>
    <s v="СЕРАФИМ НИКОЛАЕВ АЯНСКИ"/>
    <n v="4600"/>
    <x v="16"/>
    <n v="1845.77"/>
    <n v="11.074619999999999"/>
    <n v="621.73"/>
    <n v="102.26"/>
    <n v="2478.5746200000003"/>
    <n v="1968.82"/>
    <n v="2071.08"/>
    <n v="24852.959999999999"/>
    <n v="3067.1309604440003"/>
    <n v="36805.571525328007"/>
    <m/>
    <m/>
    <m/>
    <m/>
    <m/>
  </r>
  <r>
    <n v="83"/>
    <x v="0"/>
    <s v="СИМЕОН СТАНИМИРОВ СИМЕОНОВ"/>
    <n v="1200"/>
    <x v="2"/>
    <n v="986.8"/>
    <n v="112.49520000000001"/>
    <n v="252.33"/>
    <n v="102.26"/>
    <n v="1351.6251999999999"/>
    <n v="1048.8611552"/>
    <n v="1151.1211552"/>
    <n v="13813.4538624"/>
    <n v="1719.0740642399999"/>
    <n v="20628.888770879999"/>
    <m/>
    <m/>
    <m/>
    <m/>
    <m/>
  </r>
  <r>
    <n v="325"/>
    <x v="0"/>
    <s v="СИРИЛ ЖЕРЕМИ ДЮПИР"/>
    <n v="2440"/>
    <x v="24"/>
    <n v="623.78"/>
    <n v="37.4268"/>
    <n v="1910.7"/>
    <n v="102.26"/>
    <n v="2571.9067999999997"/>
    <n v="2052.83"/>
    <n v="2155.09"/>
    <n v="25861.08"/>
    <n v="3178.7749141599998"/>
    <n v="38145.298969919997"/>
    <m/>
    <m/>
    <m/>
    <m/>
    <m/>
  </r>
  <r>
    <n v="706"/>
    <x v="0"/>
    <s v="СНЕЖАНА ДАНЧЕВА ВЪЛКОВА"/>
    <n v="1600"/>
    <x v="3"/>
    <n v="639.12"/>
    <n v="3.8347199999999999"/>
    <n v="88.25"/>
    <n v="102.26"/>
    <n v="731.20471999999995"/>
    <n v="567.41486271999997"/>
    <n v="669.67486271999996"/>
    <n v="8036.0983526399996"/>
    <n v="976.92708606399992"/>
    <n v="11723.125032767999"/>
    <m/>
    <m/>
    <m/>
    <m/>
    <m/>
  </r>
  <r>
    <n v="685"/>
    <x v="0"/>
    <s v="СТЕФАН ГЕОРГИЕВ ШОТЛЕКОВ"/>
    <n v="1600"/>
    <x v="3"/>
    <n v="736.27"/>
    <n v="66.264300000000006"/>
    <n v="260.76"/>
    <n v="102.26"/>
    <n v="1063.2943"/>
    <n v="825.11637680000001"/>
    <n v="927.3763768"/>
    <n v="11128.5165216"/>
    <n v="1374.17264166"/>
    <n v="16490.071699920001"/>
    <m/>
    <m/>
    <m/>
    <m/>
    <m/>
  </r>
  <r>
    <n v="755"/>
    <x v="0"/>
    <s v="СТЕФАН ИВАНОВ ГЕНОВ"/>
    <n v="3200"/>
    <x v="8"/>
    <n v="750"/>
    <n v="0"/>
    <n v="255.18"/>
    <n v="102.26"/>
    <n v="1005.1800000000001"/>
    <n v="780.01968000000011"/>
    <n v="882.2796800000001"/>
    <n v="10587.356160000001"/>
    <n v="1304.6563160000001"/>
    <n v="15655.875792000001"/>
    <m/>
    <m/>
    <m/>
    <m/>
    <m/>
  </r>
  <r>
    <n v="619"/>
    <x v="0"/>
    <s v="СТЕФАН ИЛИНОВ НИКОЛОВ"/>
    <n v="1300"/>
    <x v="4"/>
    <n v="790.97"/>
    <n v="75.933120000000002"/>
    <n v="342.05"/>
    <n v="102.26"/>
    <n v="1208.9531200000001"/>
    <n v="938.14762112000017"/>
    <n v="1040.4076211200002"/>
    <n v="12484.891453440003"/>
    <n v="1548.4097221440002"/>
    <n v="18580.916665728"/>
    <m/>
    <m/>
    <m/>
    <m/>
    <m/>
  </r>
  <r>
    <n v="369"/>
    <x v="0"/>
    <s v="СТЕФАН ПЕТРОВ ПЕТРОВ"/>
    <n v="1100"/>
    <x v="19"/>
    <n v="674.91"/>
    <n v="36.445140000000002"/>
    <n v="532.05999999999995"/>
    <n v="102.26"/>
    <n v="1243.4151400000001"/>
    <n v="964.89014864000012"/>
    <n v="1067.1501486400002"/>
    <n v="12805.801783680003"/>
    <n v="1589.6331904680001"/>
    <n v="19075.598285616001"/>
    <m/>
    <m/>
    <m/>
    <m/>
    <m/>
  </r>
  <r>
    <n v="9"/>
    <x v="0"/>
    <s v="СТЕФКА ДИМИТРОВА ЗОЕВА"/>
    <n v="1600"/>
    <x v="3"/>
    <n v="639.12"/>
    <n v="76.694400000000002"/>
    <n v="88.25"/>
    <n v="102.26"/>
    <n v="804.06439999999998"/>
    <n v="623.95397439999999"/>
    <n v="726.21397439999998"/>
    <n v="8714.5676927999993"/>
    <n v="1064.08183528"/>
    <n v="12768.98202336"/>
    <m/>
    <m/>
    <m/>
    <m/>
    <m/>
  </r>
  <r>
    <n v="583"/>
    <x v="0"/>
    <s v="СТОИМЕН ИВАНОВ СТОЙЧЕВ"/>
    <n v="1200"/>
    <x v="2"/>
    <n v="790.97"/>
    <n v="14.23746"/>
    <n v="254.11"/>
    <n v="102.26"/>
    <n v="1059.3174600000002"/>
    <n v="822.0303489600002"/>
    <n v="924.29034896000019"/>
    <n v="11091.484187520002"/>
    <n v="1369.4155456520002"/>
    <n v="16432.986547824003"/>
    <m/>
    <m/>
    <m/>
    <m/>
    <m/>
  </r>
  <r>
    <n v="743"/>
    <x v="0"/>
    <s v="СТОЙЧО МИЛКОВ СТОЕВ"/>
    <n v="1800"/>
    <x v="13"/>
    <n v="1625.91"/>
    <n v="9.7554600000000011"/>
    <n v="530.21"/>
    <n v="102.26"/>
    <n v="2165.8754600000002"/>
    <n v="1687.4"/>
    <n v="1789.66"/>
    <n v="21475.920000000002"/>
    <n v="2693.0802252520002"/>
    <n v="32316.962703024001"/>
    <m/>
    <m/>
    <m/>
    <m/>
    <m/>
  </r>
  <r>
    <n v="507"/>
    <x v="0"/>
    <s v="СТОЮ АСПАРУХОВ КЛЕЧКОВ"/>
    <n v="1300"/>
    <x v="4"/>
    <n v="790.97"/>
    <n v="132.88296"/>
    <n v="138.05000000000001"/>
    <n v="102.26"/>
    <n v="1061.9029600000001"/>
    <n v="824.03669696000009"/>
    <n v="926.29669696000008"/>
    <n v="11115.56036352"/>
    <n v="1372.5083207520001"/>
    <n v="16470.099849024002"/>
    <m/>
    <m/>
    <m/>
    <m/>
    <m/>
  </r>
  <r>
    <n v="607"/>
    <x v="0"/>
    <s v="СТОЮ ИВАНОВ РУНТЕВ"/>
    <n v="1200"/>
    <x v="2"/>
    <n v="674.91"/>
    <n v="28.346219999999999"/>
    <n v="598.95000000000005"/>
    <n v="102.26"/>
    <n v="1302.20622"/>
    <n v="1010.5120267200001"/>
    <n v="1112.7720267200002"/>
    <n v="13353.264320640003"/>
    <n v="1659.9590803640001"/>
    <n v="19919.508964368"/>
    <m/>
    <m/>
    <m/>
    <m/>
    <m/>
  </r>
  <r>
    <n v="431"/>
    <x v="0"/>
    <s v="СТОЯНКА ВЛАДИМИРОВА МАТЕВА"/>
    <n v="1600"/>
    <x v="3"/>
    <n v="639.12"/>
    <n v="42.181919999999998"/>
    <n v="76.75"/>
    <n v="102.26"/>
    <n v="758.05192"/>
    <n v="588.24828992000005"/>
    <n v="690.50828992000004"/>
    <n v="8286.09947904"/>
    <n v="1009.041706704"/>
    <n v="12108.500480448001"/>
    <m/>
    <m/>
    <m/>
    <m/>
    <m/>
  </r>
  <r>
    <n v="666"/>
    <x v="0"/>
    <s v="СТОЯНКА РАНГЕЛОВА ИВАНОВА"/>
    <n v="1600"/>
    <x v="3"/>
    <n v="639.12"/>
    <n v="103.53743999999999"/>
    <n v="38.4"/>
    <n v="102.26"/>
    <n v="781.05743999999993"/>
    <n v="606.10057343999995"/>
    <n v="708.36057343999994"/>
    <n v="8500.3268812799997"/>
    <n v="1036.5609097279998"/>
    <n v="12438.730916735998"/>
    <m/>
    <m/>
    <m/>
    <m/>
    <m/>
  </r>
  <r>
    <n v="477"/>
    <x v="0"/>
    <s v="СТОЯНКА СТОЙЧЕВА ДЖОГЛОВА"/>
    <n v="1600"/>
    <x v="3"/>
    <n v="639.12"/>
    <n v="46.016639999999995"/>
    <n v="0"/>
    <n v="102.26"/>
    <n v="685.13663999999994"/>
    <n v="531.66603264000003"/>
    <n v="633.92603264000002"/>
    <n v="7607.1123916800007"/>
    <n v="921.82044876800001"/>
    <n v="11061.845385216"/>
    <m/>
    <m/>
    <m/>
    <m/>
    <m/>
  </r>
  <r>
    <n v="744"/>
    <x v="0"/>
    <s v="ТАНЯ АРГИРОВА ТЕРЗИЕВА"/>
    <n v="1600"/>
    <x v="3"/>
    <n v="639.12"/>
    <n v="0"/>
    <n v="88.25"/>
    <n v="102.26"/>
    <n v="727.37"/>
    <n v="564.43912"/>
    <n v="666.69911999999999"/>
    <n v="8000.3894399999999"/>
    <n v="972.33999400000005"/>
    <n v="11668.079928000001"/>
    <m/>
    <m/>
    <m/>
    <m/>
    <m/>
  </r>
  <r>
    <n v="722"/>
    <x v="0"/>
    <s v="ТЕОДОР НИКОЛАЕВ ПОПИНСКИ"/>
    <n v="1800"/>
    <x v="13"/>
    <n v="1186.2"/>
    <n v="14.234400000000001"/>
    <n v="381.42"/>
    <n v="102.26"/>
    <n v="1581.8544000000002"/>
    <n v="1227.5190144000001"/>
    <n v="1329.7790144000001"/>
    <n v="15957.348172800001"/>
    <n v="1994.4742332800001"/>
    <n v="23933.690799360003"/>
    <m/>
    <m/>
    <m/>
    <m/>
    <m/>
  </r>
  <r>
    <n v="358"/>
    <x v="0"/>
    <s v="ТЕОДОРА МАРИНОВА ВАСИЛЕВА"/>
    <n v="1600"/>
    <x v="3"/>
    <n v="639.12"/>
    <n v="34.512480000000004"/>
    <n v="184.5"/>
    <n v="102.26"/>
    <n v="858.13247999999999"/>
    <n v="665.91080448000002"/>
    <n v="768.17080448000002"/>
    <n v="9218.0496537600011"/>
    <n v="1128.7580725759999"/>
    <n v="13545.096870911999"/>
    <m/>
    <m/>
    <m/>
    <m/>
    <m/>
  </r>
  <r>
    <n v="725"/>
    <x v="0"/>
    <s v="ТИХОМИР ПЕТРОВ ТЕНЕВ"/>
    <n v="4300"/>
    <x v="18"/>
    <n v="741.38"/>
    <n v="0"/>
    <n v="378.87"/>
    <n v="102.26"/>
    <n v="1120.25"/>
    <n v="869.31400000000008"/>
    <n v="971.57400000000007"/>
    <n v="11658.888000000001"/>
    <n v="1442.30305"/>
    <n v="17307.636599999998"/>
    <m/>
    <m/>
    <m/>
    <m/>
    <m/>
  </r>
  <r>
    <n v="71"/>
    <x v="0"/>
    <s v="ТОДОР АНГЕЛОВ ФИЛИПОВ"/>
    <n v="1300"/>
    <x v="4"/>
    <n v="1380.49"/>
    <n v="115.96116000000001"/>
    <n v="489.31"/>
    <n v="102.26"/>
    <n v="1985.76116"/>
    <n v="1540.9506601600001"/>
    <n v="1643.2106601600001"/>
    <n v="19718.527921920002"/>
    <n v="2477.6274995920003"/>
    <n v="29731.529995104003"/>
    <m/>
    <m/>
    <m/>
    <m/>
    <m/>
  </r>
  <r>
    <n v="724"/>
    <x v="0"/>
    <s v="ТОДОР ДИМИТРОВ БОЕВ"/>
    <n v="1300"/>
    <x v="4"/>
    <n v="889.65"/>
    <n v="16.0137"/>
    <n v="286.32"/>
    <n v="102.26"/>
    <n v="1191.9837"/>
    <n v="924.9793512"/>
    <n v="1027.2393512000001"/>
    <n v="12326.872214400002"/>
    <n v="1528.1109019400001"/>
    <n v="18337.330823280001"/>
    <m/>
    <m/>
    <m/>
    <m/>
    <m/>
  </r>
  <r>
    <n v="717"/>
    <x v="0"/>
    <s v="ХРИСТИНА АНГЕЛОВА ЗГУРОВА"/>
    <n v="3110"/>
    <x v="21"/>
    <n v="838.52"/>
    <n v="5.0311199999999996"/>
    <n v="743.77"/>
    <n v="102.26"/>
    <n v="1587.3211200000001"/>
    <n v="1231.7611891200002"/>
    <n v="1334.0211891200001"/>
    <n v="16008.254269440002"/>
    <n v="2001.0135237440002"/>
    <n v="24012.162284928003"/>
    <m/>
    <m/>
    <m/>
    <m/>
    <m/>
  </r>
  <r>
    <n v="732"/>
    <x v="0"/>
    <s v="ХРИСТО КОСТАДИНОВ ТОЛЧЕВ"/>
    <n v="1600"/>
    <x v="3"/>
    <n v="690.25"/>
    <n v="0"/>
    <n v="232.64"/>
    <n v="102.26"/>
    <n v="922.89"/>
    <n v="716.16264000000001"/>
    <n v="818.42264"/>
    <n v="9821.0716800000009"/>
    <n v="1206.221018"/>
    <n v="14474.652215999999"/>
    <m/>
    <m/>
    <m/>
    <m/>
    <m/>
  </r>
  <r>
    <n v="345"/>
    <x v="0"/>
    <s v="ЦВЕТЕЛИНА ЕМИЛОВА ТОДОРОВА"/>
    <n v="1600"/>
    <x v="3"/>
    <n v="948.45"/>
    <n v="56.907000000000011"/>
    <n v="654.45000000000005"/>
    <n v="102.26"/>
    <n v="1659.8070000000002"/>
    <n v="1288.0102320000003"/>
    <n v="1390.2702320000003"/>
    <n v="16683.242784000002"/>
    <n v="2087.7211334000003"/>
    <n v="25052.653600800004"/>
    <m/>
    <m/>
    <m/>
    <m/>
    <m/>
  </r>
  <r>
    <n v="678"/>
    <x v="0"/>
    <s v="ЦВЕТЕЛИНА НИКОЛАЕВА УЗУНОВА"/>
    <n v="5600"/>
    <x v="25"/>
    <n v="988.33"/>
    <n v="11.859960000000001"/>
    <n v="329.78"/>
    <n v="102.26"/>
    <n v="1329.9699599999999"/>
    <n v="1032.05668896"/>
    <n v="1134.31668896"/>
    <n v="13611.80026752"/>
    <n v="1693.1700661519999"/>
    <n v="20318.040793823999"/>
    <m/>
    <m/>
    <m/>
    <m/>
    <m/>
  </r>
  <r>
    <n v="656"/>
    <x v="0"/>
    <s v="ЦВЕТЕЛИНА ТОШЕВА МУЕВСКА-ПЕТРОВА"/>
    <n v="1000"/>
    <x v="17"/>
    <n v="986.8"/>
    <n v="5.920799999999999"/>
    <n v="463.23"/>
    <n v="102.26"/>
    <n v="1455.9508000000001"/>
    <n v="1129.8178208000002"/>
    <n v="1232.0778208000002"/>
    <n v="14784.933849600002"/>
    <n v="1843.8683469600001"/>
    <n v="22126.420163520001"/>
    <m/>
    <m/>
    <m/>
    <m/>
    <m/>
  </r>
  <r>
    <n v="15"/>
    <x v="0"/>
    <s v="ЩИРЯНА РАДОЕВА ПАПАЗОВА"/>
    <n v="4300"/>
    <x v="18"/>
    <n v="715.81"/>
    <n v="146.02523999999997"/>
    <n v="386.03"/>
    <n v="102.26"/>
    <n v="1247.8652399999999"/>
    <n v="968.34342623999987"/>
    <n v="1070.6034262399999"/>
    <n v="12847.241114879998"/>
    <n v="1594.9564000879998"/>
    <n v="19139.476801055996"/>
    <m/>
    <m/>
    <m/>
    <m/>
    <m/>
  </r>
  <r>
    <n v="515"/>
    <x v="0"/>
    <s v="ЮЛИАНА ДИМИТРОВА МАНДОВА"/>
    <n v="1600"/>
    <x v="3"/>
    <n v="639.12"/>
    <n v="34.512480000000004"/>
    <n v="173"/>
    <n v="102.26"/>
    <n v="846.63247999999999"/>
    <n v="656.98680448000005"/>
    <n v="759.24680448000004"/>
    <n v="9110.9616537600014"/>
    <n v="1115.0017725759999"/>
    <n v="13380.021270911999"/>
    <m/>
    <m/>
    <m/>
    <m/>
    <m/>
  </r>
  <r>
    <n v="12"/>
    <x v="0"/>
    <s v="ЯВОР ЕМИЛОВ БОРИСОВ"/>
    <n v="5600"/>
    <x v="25"/>
    <n v="810.4"/>
    <n v="131.28479999999999"/>
    <n v="872.78"/>
    <n v="102.26"/>
    <n v="1814.4648"/>
    <n v="1408.0246847999999"/>
    <n v="1510.2846847999999"/>
    <n v="18123.416217599999"/>
    <n v="2272.7227937600001"/>
    <n v="27272.673525120001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E337FC-1150-4AA5-BD79-9493CB76AD2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30" firstHeaderRow="1" firstDataRow="1" firstDataCol="1"/>
  <pivotFields count="2">
    <pivotField dataField="1" showAll="0"/>
    <pivotField axis="axisRow" showAll="0">
      <items count="28">
        <item x="10"/>
        <item x="24"/>
        <item x="22"/>
        <item x="1"/>
        <item x="19"/>
        <item x="7"/>
        <item x="5"/>
        <item m="1" x="26"/>
        <item x="4"/>
        <item x="3"/>
        <item x="25"/>
        <item x="12"/>
        <item x="9"/>
        <item x="21"/>
        <item x="2"/>
        <item x="17"/>
        <item x="11"/>
        <item x="20"/>
        <item x="8"/>
        <item x="18"/>
        <item x="0"/>
        <item x="6"/>
        <item x="14"/>
        <item x="16"/>
        <item x="15"/>
        <item x="13"/>
        <item x="23"/>
        <item t="default"/>
      </items>
    </pivotField>
  </pivotFields>
  <rowFields count="1">
    <field x="1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Count of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41B0FF-FE7D-4C77-B810-24CD471DD6B3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V6:Y33" firstHeaderRow="0" firstDataRow="1" firstDataCol="1" rowPageCount="4" colPageCount="1"/>
  <pivotFields count="23">
    <pivotField showAll="0"/>
    <pivotField axis="axisPage" numFmtId="14" showAll="0">
      <items count="3">
        <item x="1"/>
        <item x="0"/>
        <item t="default"/>
      </items>
    </pivotField>
    <pivotField showAll="0"/>
    <pivotField showAll="0"/>
    <pivotField axis="axisRow" showAll="0">
      <items count="28">
        <item x="10"/>
        <item x="24"/>
        <item x="22"/>
        <item x="1"/>
        <item x="19"/>
        <item x="7"/>
        <item x="5"/>
        <item m="1" x="26"/>
        <item x="4"/>
        <item x="3"/>
        <item x="25"/>
        <item x="12"/>
        <item x="9"/>
        <item x="21"/>
        <item x="2"/>
        <item x="17"/>
        <item x="11"/>
        <item x="20"/>
        <item x="8"/>
        <item x="18"/>
        <item x="0"/>
        <item x="6"/>
        <item x="14"/>
        <item x="16"/>
        <item x="15"/>
        <item x="13"/>
        <item x="23"/>
        <item t="default"/>
      </items>
    </pivotField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dataField="1" numFmtId="2" showAll="0"/>
    <pivotField dataField="1" numFmtId="2" showAll="0"/>
    <pivotField showAll="0"/>
    <pivotField showAll="0"/>
    <pivotField showAll="0"/>
    <pivotField showAll="0"/>
    <pivotField showAll="0"/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Page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multipleItemSelectionAllowed="1" showAll="0">
      <items count="5">
        <item h="1" sd="0" x="0"/>
        <item h="1" sd="0" x="1"/>
        <item sd="0" x="2"/>
        <item h="1" sd="0" x="3"/>
        <item t="default"/>
      </items>
    </pivotField>
  </pivotFields>
  <rowFields count="1">
    <field x="4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4">
    <pageField fld="22" hier="-1"/>
    <pageField fld="20" hier="-1"/>
    <pageField fld="1" hier="-1"/>
    <pageField fld="21" hier="-1"/>
  </pageFields>
  <dataFields count="3">
    <dataField name="Sum of Month Employer Cost" fld="13" baseField="0" baseItem="0" numFmtId="2"/>
    <dataField name="Sum of Annual Employer Cost" fld="14" baseField="0" baseItem="0" numFmtId="2"/>
    <dataField name="Sum of Annual Salary (netto)" fld="12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F593A3-069C-4F94-AD76-E4EA7D333F8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V41:Y69" firstHeaderRow="0" firstDataRow="1" firstDataCol="1" rowPageCount="4" colPageCount="1"/>
  <pivotFields count="22">
    <pivotField showAll="0"/>
    <pivotField axis="axisPage" numFmtId="14" showAll="0">
      <items count="3">
        <item x="1"/>
        <item x="0"/>
        <item t="default"/>
      </items>
    </pivotField>
    <pivotField showAll="0"/>
    <pivotField axis="axisRow" showAll="0">
      <items count="28">
        <item x="18"/>
        <item x="20"/>
        <item x="2"/>
        <item x="4"/>
        <item x="1"/>
        <item x="3"/>
        <item x="14"/>
        <item x="13"/>
        <item x="7"/>
        <item x="10"/>
        <item x="23"/>
        <item x="25"/>
        <item x="22"/>
        <item x="8"/>
        <item x="12"/>
        <item x="6"/>
        <item x="24"/>
        <item x="19"/>
        <item x="5"/>
        <item x="11"/>
        <item x="17"/>
        <item x="0"/>
        <item x="16"/>
        <item x="26"/>
        <item x="15"/>
        <item x="21"/>
        <item x="9"/>
        <item t="default"/>
      </items>
    </pivotField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dataField="1" numFmtId="2" showAll="0"/>
    <pivotField dataField="1" numFmtId="2" showAll="0"/>
    <pivotField showAll="0"/>
    <pivotField showAll="0"/>
    <pivotField showAll="0"/>
    <pivotField showAll="0"/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Page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multipleItemSelectionAllowed="1" showAll="0">
      <items count="5">
        <item h="1" sd="0" x="0"/>
        <item h="1" sd="0" x="1"/>
        <item sd="0" x="2"/>
        <item h="1" sd="0" x="3"/>
        <item t="default"/>
      </items>
    </pivotField>
  </pivotFields>
  <rowFields count="1">
    <field x="3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4">
    <pageField fld="21" hier="-1"/>
    <pageField fld="20" hier="-1"/>
    <pageField fld="19" hier="-1"/>
    <pageField fld="1" hier="-1"/>
  </pageFields>
  <dataFields count="3">
    <dataField name="Sum of Month Employer Cost" fld="13" baseField="0" baseItem="0" numFmtId="2"/>
    <dataField name="Sum of Annual Employer Cost" fld="14" baseField="0" baseItem="0" numFmtId="2"/>
    <dataField name="Sum of Annual Salary (netto)" fld="12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5"/>
  <sheetViews>
    <sheetView tabSelected="1" workbookViewId="0">
      <pane ySplit="1" topLeftCell="A143" activePane="bottomLeft" state="frozen"/>
      <selection pane="bottomLeft" activeCell="B2" sqref="B2:B155"/>
    </sheetView>
  </sheetViews>
  <sheetFormatPr defaultRowHeight="14.5" x14ac:dyDescent="0.35"/>
  <cols>
    <col min="1" max="1" width="10.1796875" customWidth="1"/>
    <col min="2" max="2" width="47.1796875" customWidth="1"/>
    <col min="3" max="3" width="33.7265625" customWidth="1"/>
    <col min="4" max="4" width="62.7265625" customWidth="1"/>
    <col min="5" max="5" width="13.7265625" customWidth="1"/>
    <col min="6" max="6" width="5.7265625" customWidth="1"/>
    <col min="7" max="7" width="11.7265625" style="4" customWidth="1"/>
    <col min="10" max="10" width="26.1796875" bestFit="1" customWidth="1"/>
    <col min="11" max="11" width="14.453125" bestFit="1" customWidth="1"/>
    <col min="12" max="35" width="26.1796875" bestFit="1" customWidth="1"/>
    <col min="36" max="36" width="11.26953125" bestFit="1" customWidth="1"/>
  </cols>
  <sheetData>
    <row r="1" spans="1:11" ht="48" customHeigh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11" x14ac:dyDescent="0.35">
      <c r="A2" s="3">
        <v>144</v>
      </c>
      <c r="C2" t="s">
        <v>25</v>
      </c>
      <c r="D2" t="s">
        <v>50</v>
      </c>
      <c r="E2" s="2">
        <v>40361</v>
      </c>
      <c r="F2">
        <v>1</v>
      </c>
      <c r="G2" s="4">
        <v>5400</v>
      </c>
      <c r="H2" t="s">
        <v>24</v>
      </c>
    </row>
    <row r="3" spans="1:11" x14ac:dyDescent="0.35">
      <c r="A3" s="3">
        <v>66</v>
      </c>
      <c r="C3" t="s">
        <v>26</v>
      </c>
      <c r="D3" t="s">
        <v>51</v>
      </c>
      <c r="E3" s="2">
        <v>41387</v>
      </c>
      <c r="F3">
        <v>1</v>
      </c>
      <c r="G3" s="4">
        <v>1400</v>
      </c>
      <c r="H3" t="s">
        <v>24</v>
      </c>
      <c r="J3" s="10" t="s">
        <v>123</v>
      </c>
      <c r="K3" t="s">
        <v>125</v>
      </c>
    </row>
    <row r="4" spans="1:11" x14ac:dyDescent="0.35">
      <c r="A4" s="3">
        <v>748</v>
      </c>
      <c r="C4" t="s">
        <v>27</v>
      </c>
      <c r="D4" t="s">
        <v>52</v>
      </c>
      <c r="E4" s="2">
        <v>46034</v>
      </c>
      <c r="F4">
        <v>1</v>
      </c>
      <c r="G4" s="4">
        <v>1200</v>
      </c>
      <c r="H4" t="s">
        <v>116</v>
      </c>
      <c r="J4" s="3" t="s">
        <v>35</v>
      </c>
      <c r="K4">
        <v>6</v>
      </c>
    </row>
    <row r="5" spans="1:11" x14ac:dyDescent="0.35">
      <c r="A5" s="3">
        <v>753</v>
      </c>
      <c r="C5" t="s">
        <v>28</v>
      </c>
      <c r="D5" t="s">
        <v>53</v>
      </c>
      <c r="E5" s="2">
        <v>46062</v>
      </c>
      <c r="F5">
        <v>1</v>
      </c>
      <c r="G5" s="4">
        <v>1600</v>
      </c>
      <c r="H5" t="s">
        <v>24</v>
      </c>
      <c r="J5" s="3" t="s">
        <v>48</v>
      </c>
      <c r="K5">
        <v>2</v>
      </c>
    </row>
    <row r="6" spans="1:11" x14ac:dyDescent="0.35">
      <c r="A6" s="3">
        <v>747</v>
      </c>
      <c r="C6" t="s">
        <v>28</v>
      </c>
      <c r="D6" t="s">
        <v>54</v>
      </c>
      <c r="E6" s="2">
        <v>46029</v>
      </c>
      <c r="F6">
        <v>1</v>
      </c>
      <c r="G6" s="4">
        <v>1600</v>
      </c>
      <c r="H6" t="s">
        <v>24</v>
      </c>
      <c r="J6" s="3" t="s">
        <v>47</v>
      </c>
      <c r="K6">
        <v>2</v>
      </c>
    </row>
    <row r="7" spans="1:11" x14ac:dyDescent="0.35">
      <c r="A7" s="3">
        <v>648</v>
      </c>
      <c r="C7" t="s">
        <v>29</v>
      </c>
      <c r="D7" t="s">
        <v>55</v>
      </c>
      <c r="E7" s="2">
        <v>44845</v>
      </c>
      <c r="F7">
        <v>1</v>
      </c>
      <c r="G7" s="4">
        <v>1300</v>
      </c>
      <c r="H7" t="s">
        <v>24</v>
      </c>
      <c r="J7" s="3" t="s">
        <v>26</v>
      </c>
      <c r="K7">
        <v>5</v>
      </c>
    </row>
    <row r="8" spans="1:11" x14ac:dyDescent="0.35">
      <c r="A8" s="3">
        <v>263</v>
      </c>
      <c r="C8" t="s">
        <v>30</v>
      </c>
      <c r="D8" t="s">
        <v>56</v>
      </c>
      <c r="E8" s="2">
        <v>41821</v>
      </c>
      <c r="F8">
        <v>1</v>
      </c>
      <c r="G8" s="4">
        <v>4400</v>
      </c>
      <c r="H8" t="s">
        <v>24</v>
      </c>
      <c r="J8" s="3" t="s">
        <v>44</v>
      </c>
      <c r="K8">
        <v>2</v>
      </c>
    </row>
    <row r="9" spans="1:11" x14ac:dyDescent="0.35">
      <c r="A9" s="3">
        <v>719</v>
      </c>
      <c r="C9" t="s">
        <v>31</v>
      </c>
      <c r="D9" t="s">
        <v>57</v>
      </c>
      <c r="E9" s="2">
        <v>45670</v>
      </c>
      <c r="F9">
        <v>1</v>
      </c>
      <c r="G9" s="4">
        <v>3900</v>
      </c>
      <c r="H9" t="s">
        <v>24</v>
      </c>
      <c r="J9" s="3" t="s">
        <v>32</v>
      </c>
      <c r="K9">
        <v>11</v>
      </c>
    </row>
    <row r="10" spans="1:11" x14ac:dyDescent="0.35">
      <c r="A10" s="3">
        <v>67</v>
      </c>
      <c r="C10" t="s">
        <v>29</v>
      </c>
      <c r="D10" t="s">
        <v>58</v>
      </c>
      <c r="E10" s="2">
        <v>41334</v>
      </c>
      <c r="F10">
        <v>1</v>
      </c>
      <c r="G10" s="4">
        <v>1300</v>
      </c>
      <c r="H10" t="s">
        <v>24</v>
      </c>
      <c r="J10" s="3" t="s">
        <v>30</v>
      </c>
      <c r="K10">
        <v>2</v>
      </c>
    </row>
    <row r="11" spans="1:11" x14ac:dyDescent="0.35">
      <c r="A11" s="3">
        <v>615</v>
      </c>
      <c r="C11" t="s">
        <v>27</v>
      </c>
      <c r="D11" t="s">
        <v>55</v>
      </c>
      <c r="E11" s="2">
        <v>44634</v>
      </c>
      <c r="F11">
        <v>1</v>
      </c>
      <c r="G11" s="4">
        <v>1200</v>
      </c>
      <c r="H11" t="s">
        <v>24</v>
      </c>
      <c r="J11" s="3" t="s">
        <v>29</v>
      </c>
      <c r="K11">
        <v>23</v>
      </c>
    </row>
    <row r="12" spans="1:11" x14ac:dyDescent="0.35">
      <c r="A12" s="3">
        <v>465</v>
      </c>
      <c r="C12" t="s">
        <v>32</v>
      </c>
      <c r="D12" t="s">
        <v>59</v>
      </c>
      <c r="E12" s="2">
        <v>43412</v>
      </c>
      <c r="F12">
        <v>1</v>
      </c>
      <c r="G12" s="4">
        <v>2100</v>
      </c>
      <c r="H12" t="s">
        <v>24</v>
      </c>
      <c r="J12" s="3" t="s">
        <v>28</v>
      </c>
      <c r="K12">
        <v>46</v>
      </c>
    </row>
    <row r="13" spans="1:11" x14ac:dyDescent="0.35">
      <c r="A13" s="3">
        <v>608</v>
      </c>
      <c r="C13" t="s">
        <v>28</v>
      </c>
      <c r="D13" t="s">
        <v>54</v>
      </c>
      <c r="E13" s="2">
        <v>44593</v>
      </c>
      <c r="F13">
        <v>1</v>
      </c>
      <c r="G13" s="4">
        <v>1600</v>
      </c>
      <c r="H13" t="s">
        <v>24</v>
      </c>
      <c r="J13" s="3" t="s">
        <v>49</v>
      </c>
      <c r="K13">
        <v>2</v>
      </c>
    </row>
    <row r="14" spans="1:11" x14ac:dyDescent="0.35">
      <c r="A14" s="3">
        <v>55</v>
      </c>
      <c r="C14" t="s">
        <v>27</v>
      </c>
      <c r="D14" t="s">
        <v>52</v>
      </c>
      <c r="E14" s="2">
        <v>41535</v>
      </c>
      <c r="F14">
        <v>1</v>
      </c>
      <c r="G14" s="4">
        <v>1200</v>
      </c>
      <c r="H14" t="s">
        <v>24</v>
      </c>
      <c r="J14" s="3" t="s">
        <v>37</v>
      </c>
      <c r="K14">
        <v>5</v>
      </c>
    </row>
    <row r="15" spans="1:11" x14ac:dyDescent="0.35">
      <c r="A15" s="3">
        <v>6</v>
      </c>
      <c r="C15" t="s">
        <v>28</v>
      </c>
      <c r="D15" t="s">
        <v>54</v>
      </c>
      <c r="E15" s="2">
        <v>38687</v>
      </c>
      <c r="F15">
        <v>1</v>
      </c>
      <c r="G15" s="4">
        <v>1600</v>
      </c>
      <c r="H15" t="s">
        <v>24</v>
      </c>
      <c r="J15" s="3" t="s">
        <v>34</v>
      </c>
      <c r="K15">
        <v>2</v>
      </c>
    </row>
    <row r="16" spans="1:11" x14ac:dyDescent="0.35">
      <c r="A16" s="3">
        <v>697</v>
      </c>
      <c r="C16" t="s">
        <v>33</v>
      </c>
      <c r="D16" t="s">
        <v>60</v>
      </c>
      <c r="E16" s="2">
        <v>45357</v>
      </c>
      <c r="F16">
        <v>1</v>
      </c>
      <c r="G16" s="4">
        <v>3200</v>
      </c>
      <c r="H16" t="s">
        <v>116</v>
      </c>
      <c r="J16" s="3" t="s">
        <v>46</v>
      </c>
      <c r="K16">
        <v>3</v>
      </c>
    </row>
    <row r="17" spans="1:11" x14ac:dyDescent="0.35">
      <c r="A17" s="3">
        <v>736</v>
      </c>
      <c r="C17" t="s">
        <v>29</v>
      </c>
      <c r="D17" t="s">
        <v>55</v>
      </c>
      <c r="E17" s="2">
        <v>45916</v>
      </c>
      <c r="F17">
        <v>1</v>
      </c>
      <c r="G17" s="4">
        <v>1300</v>
      </c>
      <c r="H17" t="s">
        <v>24</v>
      </c>
      <c r="J17" s="3" t="s">
        <v>27</v>
      </c>
      <c r="K17">
        <v>12</v>
      </c>
    </row>
    <row r="18" spans="1:11" x14ac:dyDescent="0.35">
      <c r="A18" s="3">
        <v>713</v>
      </c>
      <c r="C18" t="s">
        <v>32</v>
      </c>
      <c r="D18" t="s">
        <v>61</v>
      </c>
      <c r="E18" s="2">
        <v>45566</v>
      </c>
      <c r="F18">
        <v>1</v>
      </c>
      <c r="G18" s="4">
        <v>2100</v>
      </c>
      <c r="H18" t="s">
        <v>24</v>
      </c>
      <c r="J18" s="3" t="s">
        <v>42</v>
      </c>
      <c r="K18">
        <v>3</v>
      </c>
    </row>
    <row r="19" spans="1:11" x14ac:dyDescent="0.35">
      <c r="A19" s="3">
        <v>660</v>
      </c>
      <c r="C19" t="s">
        <v>34</v>
      </c>
      <c r="D19" t="s">
        <v>62</v>
      </c>
      <c r="E19" s="2">
        <v>44966</v>
      </c>
      <c r="F19">
        <v>1</v>
      </c>
      <c r="G19" s="4">
        <v>6410</v>
      </c>
      <c r="H19" t="s">
        <v>24</v>
      </c>
      <c r="J19" s="3" t="s">
        <v>36</v>
      </c>
      <c r="K19">
        <v>1</v>
      </c>
    </row>
    <row r="20" spans="1:11" x14ac:dyDescent="0.35">
      <c r="A20" s="3">
        <v>52</v>
      </c>
      <c r="C20" t="s">
        <v>32</v>
      </c>
      <c r="D20" t="s">
        <v>58</v>
      </c>
      <c r="E20" s="2">
        <v>40182</v>
      </c>
      <c r="F20">
        <v>1</v>
      </c>
      <c r="G20" s="4">
        <v>2100</v>
      </c>
      <c r="H20" t="s">
        <v>24</v>
      </c>
      <c r="J20" s="3" t="s">
        <v>45</v>
      </c>
      <c r="K20">
        <v>3</v>
      </c>
    </row>
    <row r="21" spans="1:11" x14ac:dyDescent="0.35">
      <c r="A21" s="3">
        <v>673</v>
      </c>
      <c r="C21" t="s">
        <v>28</v>
      </c>
      <c r="D21" t="s">
        <v>53</v>
      </c>
      <c r="E21" s="2">
        <v>45057</v>
      </c>
      <c r="F21">
        <v>1</v>
      </c>
      <c r="G21" s="4">
        <v>1600</v>
      </c>
      <c r="H21" t="s">
        <v>24</v>
      </c>
      <c r="J21" s="3" t="s">
        <v>33</v>
      </c>
      <c r="K21">
        <v>4</v>
      </c>
    </row>
    <row r="22" spans="1:11" x14ac:dyDescent="0.35">
      <c r="A22" s="3">
        <v>580</v>
      </c>
      <c r="C22" t="s">
        <v>35</v>
      </c>
      <c r="D22" t="s">
        <v>63</v>
      </c>
      <c r="E22" s="2">
        <v>44284</v>
      </c>
      <c r="F22">
        <v>1</v>
      </c>
      <c r="G22" s="4">
        <v>2220</v>
      </c>
      <c r="H22" t="s">
        <v>24</v>
      </c>
      <c r="J22" s="3" t="s">
        <v>43</v>
      </c>
      <c r="K22">
        <v>3</v>
      </c>
    </row>
    <row r="23" spans="1:11" x14ac:dyDescent="0.35">
      <c r="A23" s="3">
        <v>682</v>
      </c>
      <c r="C23" t="s">
        <v>28</v>
      </c>
      <c r="D23" t="s">
        <v>54</v>
      </c>
      <c r="E23" s="2">
        <v>45201</v>
      </c>
      <c r="F23">
        <v>1</v>
      </c>
      <c r="G23" s="4">
        <v>1600</v>
      </c>
      <c r="H23" t="s">
        <v>24</v>
      </c>
      <c r="J23" s="3" t="s">
        <v>25</v>
      </c>
      <c r="K23">
        <v>3</v>
      </c>
    </row>
    <row r="24" spans="1:11" x14ac:dyDescent="0.35">
      <c r="A24" s="3">
        <v>566</v>
      </c>
      <c r="C24" t="s">
        <v>28</v>
      </c>
      <c r="D24" t="s">
        <v>54</v>
      </c>
      <c r="E24" s="2">
        <v>44228</v>
      </c>
      <c r="F24">
        <v>1</v>
      </c>
      <c r="G24" s="4">
        <v>1600</v>
      </c>
      <c r="H24" t="s">
        <v>24</v>
      </c>
      <c r="J24" s="3" t="s">
        <v>31</v>
      </c>
      <c r="K24">
        <v>1</v>
      </c>
    </row>
    <row r="25" spans="1:11" x14ac:dyDescent="0.35">
      <c r="A25" s="3">
        <v>708</v>
      </c>
      <c r="C25" t="s">
        <v>35</v>
      </c>
      <c r="D25" t="s">
        <v>64</v>
      </c>
      <c r="E25" s="2">
        <v>45526</v>
      </c>
      <c r="F25">
        <v>1</v>
      </c>
      <c r="G25" s="4">
        <v>2220</v>
      </c>
      <c r="H25" t="s">
        <v>24</v>
      </c>
      <c r="J25" s="3" t="s">
        <v>39</v>
      </c>
      <c r="K25">
        <v>1</v>
      </c>
    </row>
    <row r="26" spans="1:11" x14ac:dyDescent="0.35">
      <c r="A26" s="3">
        <v>368</v>
      </c>
      <c r="C26" t="s">
        <v>29</v>
      </c>
      <c r="D26" t="s">
        <v>61</v>
      </c>
      <c r="E26" s="2">
        <v>42507</v>
      </c>
      <c r="F26">
        <v>1</v>
      </c>
      <c r="G26" s="4">
        <v>1300</v>
      </c>
      <c r="H26" t="s">
        <v>24</v>
      </c>
      <c r="J26" s="3" t="s">
        <v>41</v>
      </c>
      <c r="K26">
        <v>3</v>
      </c>
    </row>
    <row r="27" spans="1:11" x14ac:dyDescent="0.35">
      <c r="A27" s="3">
        <v>239</v>
      </c>
      <c r="C27" t="s">
        <v>26</v>
      </c>
      <c r="D27" t="s">
        <v>65</v>
      </c>
      <c r="E27" s="2">
        <v>41557</v>
      </c>
      <c r="F27">
        <v>1</v>
      </c>
      <c r="G27" s="4">
        <v>1400</v>
      </c>
      <c r="H27" t="s">
        <v>24</v>
      </c>
      <c r="J27" s="3" t="s">
        <v>40</v>
      </c>
      <c r="K27">
        <v>3</v>
      </c>
    </row>
    <row r="28" spans="1:11" x14ac:dyDescent="0.35">
      <c r="A28" s="3">
        <v>741</v>
      </c>
      <c r="C28" t="s">
        <v>28</v>
      </c>
      <c r="D28" t="s">
        <v>53</v>
      </c>
      <c r="E28" s="2">
        <v>45950</v>
      </c>
      <c r="F28">
        <v>1</v>
      </c>
      <c r="G28" s="4">
        <v>1600</v>
      </c>
      <c r="H28" t="s">
        <v>24</v>
      </c>
      <c r="J28" s="3" t="s">
        <v>38</v>
      </c>
      <c r="K28">
        <v>5</v>
      </c>
    </row>
    <row r="29" spans="1:11" x14ac:dyDescent="0.35">
      <c r="A29" s="3">
        <v>738</v>
      </c>
      <c r="C29" t="s">
        <v>29</v>
      </c>
      <c r="D29" t="s">
        <v>61</v>
      </c>
      <c r="E29" s="2">
        <v>45923</v>
      </c>
      <c r="F29">
        <v>1</v>
      </c>
      <c r="G29" s="4">
        <v>1300</v>
      </c>
      <c r="H29" t="s">
        <v>24</v>
      </c>
      <c r="J29" s="3" t="s">
        <v>506</v>
      </c>
      <c r="K29">
        <v>1</v>
      </c>
    </row>
    <row r="30" spans="1:11" x14ac:dyDescent="0.35">
      <c r="A30" s="3">
        <v>726</v>
      </c>
      <c r="C30" t="s">
        <v>28</v>
      </c>
      <c r="D30" t="s">
        <v>53</v>
      </c>
      <c r="E30" s="2">
        <v>45804</v>
      </c>
      <c r="F30">
        <v>1</v>
      </c>
      <c r="G30" s="4">
        <v>1600</v>
      </c>
      <c r="H30" t="s">
        <v>24</v>
      </c>
      <c r="J30" s="3" t="s">
        <v>124</v>
      </c>
      <c r="K30">
        <v>154</v>
      </c>
    </row>
    <row r="31" spans="1:11" x14ac:dyDescent="0.35">
      <c r="A31" s="3">
        <v>231</v>
      </c>
      <c r="C31" t="s">
        <v>36</v>
      </c>
      <c r="D31" t="s">
        <v>66</v>
      </c>
      <c r="E31" s="2">
        <v>41535</v>
      </c>
      <c r="F31">
        <v>1</v>
      </c>
      <c r="G31" s="4">
        <v>4500</v>
      </c>
      <c r="H31" t="s">
        <v>24</v>
      </c>
    </row>
    <row r="32" spans="1:11" x14ac:dyDescent="0.35">
      <c r="A32" s="3">
        <v>610</v>
      </c>
      <c r="C32" t="s">
        <v>29</v>
      </c>
      <c r="D32" t="s">
        <v>58</v>
      </c>
      <c r="E32" s="2">
        <v>44628</v>
      </c>
      <c r="F32">
        <v>1</v>
      </c>
      <c r="G32" s="4">
        <v>1300</v>
      </c>
      <c r="H32" t="s">
        <v>24</v>
      </c>
    </row>
    <row r="33" spans="1:8" x14ac:dyDescent="0.35">
      <c r="A33" s="3">
        <v>751</v>
      </c>
      <c r="C33" t="s">
        <v>29</v>
      </c>
      <c r="D33" t="s">
        <v>58</v>
      </c>
      <c r="E33" s="2">
        <v>46055</v>
      </c>
      <c r="F33">
        <v>1</v>
      </c>
      <c r="G33" s="4">
        <v>1300</v>
      </c>
      <c r="H33" t="s">
        <v>24</v>
      </c>
    </row>
    <row r="34" spans="1:8" x14ac:dyDescent="0.35">
      <c r="A34" s="3">
        <v>623</v>
      </c>
      <c r="C34" t="s">
        <v>32</v>
      </c>
      <c r="D34" t="s">
        <v>55</v>
      </c>
      <c r="E34" s="2">
        <v>44691</v>
      </c>
      <c r="F34">
        <v>1</v>
      </c>
      <c r="G34" s="4">
        <v>2100</v>
      </c>
      <c r="H34" t="s">
        <v>24</v>
      </c>
    </row>
    <row r="35" spans="1:8" x14ac:dyDescent="0.35">
      <c r="A35" s="3">
        <v>745</v>
      </c>
      <c r="C35" t="s">
        <v>29</v>
      </c>
      <c r="D35" t="s">
        <v>67</v>
      </c>
      <c r="E35" s="2">
        <v>45992</v>
      </c>
      <c r="F35">
        <v>1</v>
      </c>
      <c r="G35" s="4">
        <v>1300</v>
      </c>
      <c r="H35" t="s">
        <v>24</v>
      </c>
    </row>
    <row r="36" spans="1:8" x14ac:dyDescent="0.35">
      <c r="A36" s="3">
        <v>756</v>
      </c>
      <c r="C36" t="s">
        <v>28</v>
      </c>
      <c r="D36" t="s">
        <v>54</v>
      </c>
      <c r="E36" s="2">
        <v>46076</v>
      </c>
      <c r="F36">
        <v>1</v>
      </c>
      <c r="G36" s="4">
        <v>1600</v>
      </c>
      <c r="H36" t="s">
        <v>24</v>
      </c>
    </row>
    <row r="37" spans="1:8" x14ac:dyDescent="0.35">
      <c r="A37" s="3">
        <v>404</v>
      </c>
      <c r="C37" t="s">
        <v>28</v>
      </c>
      <c r="D37" t="s">
        <v>54</v>
      </c>
      <c r="E37" s="2">
        <v>42772</v>
      </c>
      <c r="F37">
        <v>1</v>
      </c>
      <c r="G37" s="4">
        <v>1600</v>
      </c>
      <c r="H37" t="s">
        <v>24</v>
      </c>
    </row>
    <row r="38" spans="1:8" x14ac:dyDescent="0.35">
      <c r="A38" s="3">
        <v>277</v>
      </c>
      <c r="C38" t="s">
        <v>27</v>
      </c>
      <c r="D38" t="s">
        <v>68</v>
      </c>
      <c r="E38" s="2">
        <v>41885</v>
      </c>
      <c r="F38">
        <v>1</v>
      </c>
      <c r="G38" s="4">
        <v>1200</v>
      </c>
      <c r="H38" t="s">
        <v>24</v>
      </c>
    </row>
    <row r="39" spans="1:8" x14ac:dyDescent="0.35">
      <c r="A39" s="3">
        <v>644</v>
      </c>
      <c r="C39" t="s">
        <v>37</v>
      </c>
      <c r="D39" t="s">
        <v>69</v>
      </c>
      <c r="E39" s="2">
        <v>44838</v>
      </c>
      <c r="F39">
        <v>1</v>
      </c>
      <c r="G39" s="4">
        <v>3500</v>
      </c>
      <c r="H39" t="s">
        <v>24</v>
      </c>
    </row>
    <row r="40" spans="1:8" x14ac:dyDescent="0.35">
      <c r="A40" s="3">
        <v>472</v>
      </c>
      <c r="C40" t="s">
        <v>32</v>
      </c>
      <c r="D40" t="s">
        <v>55</v>
      </c>
      <c r="E40" s="2">
        <v>43479</v>
      </c>
      <c r="F40">
        <v>1</v>
      </c>
      <c r="G40" s="4">
        <v>2100</v>
      </c>
      <c r="H40" t="s">
        <v>24</v>
      </c>
    </row>
    <row r="41" spans="1:8" x14ac:dyDescent="0.35">
      <c r="A41" s="3">
        <v>542</v>
      </c>
      <c r="C41" t="s">
        <v>29</v>
      </c>
      <c r="D41" t="s">
        <v>55</v>
      </c>
      <c r="E41" s="2">
        <v>43896</v>
      </c>
      <c r="F41">
        <v>1</v>
      </c>
      <c r="G41" s="4">
        <v>1300</v>
      </c>
      <c r="H41" t="s">
        <v>24</v>
      </c>
    </row>
    <row r="42" spans="1:8" x14ac:dyDescent="0.35">
      <c r="A42" s="3">
        <v>494</v>
      </c>
      <c r="C42" t="s">
        <v>37</v>
      </c>
      <c r="D42" t="s">
        <v>70</v>
      </c>
      <c r="E42" s="2">
        <v>43647</v>
      </c>
      <c r="F42">
        <v>1</v>
      </c>
      <c r="G42" s="4">
        <v>3500</v>
      </c>
      <c r="H42" t="s">
        <v>24</v>
      </c>
    </row>
    <row r="43" spans="1:8" x14ac:dyDescent="0.35">
      <c r="A43" s="3">
        <v>677</v>
      </c>
      <c r="C43" t="s">
        <v>38</v>
      </c>
      <c r="D43" t="s">
        <v>71</v>
      </c>
      <c r="E43" s="2">
        <v>45089</v>
      </c>
      <c r="F43">
        <v>1</v>
      </c>
      <c r="G43" s="4">
        <v>1800</v>
      </c>
      <c r="H43" t="s">
        <v>24</v>
      </c>
    </row>
    <row r="44" spans="1:8" x14ac:dyDescent="0.35">
      <c r="A44" s="3">
        <v>665</v>
      </c>
      <c r="C44" t="s">
        <v>28</v>
      </c>
      <c r="D44" t="s">
        <v>72</v>
      </c>
      <c r="E44" s="2">
        <v>45019</v>
      </c>
      <c r="F44">
        <v>1</v>
      </c>
      <c r="G44" s="4">
        <v>1680</v>
      </c>
      <c r="H44" t="s">
        <v>24</v>
      </c>
    </row>
    <row r="45" spans="1:8" x14ac:dyDescent="0.35">
      <c r="A45" s="3">
        <v>704</v>
      </c>
      <c r="C45" t="s">
        <v>29</v>
      </c>
      <c r="D45" t="s">
        <v>55</v>
      </c>
      <c r="E45" s="2">
        <v>45516</v>
      </c>
      <c r="F45">
        <v>1</v>
      </c>
      <c r="G45" s="4">
        <v>1300</v>
      </c>
      <c r="H45" t="s">
        <v>24</v>
      </c>
    </row>
    <row r="46" spans="1:8" x14ac:dyDescent="0.35">
      <c r="A46" s="3">
        <v>703</v>
      </c>
      <c r="C46" t="s">
        <v>39</v>
      </c>
      <c r="D46" t="s">
        <v>73</v>
      </c>
      <c r="E46" s="2">
        <v>45474</v>
      </c>
      <c r="F46">
        <v>1</v>
      </c>
      <c r="G46" s="4">
        <v>5700</v>
      </c>
      <c r="H46" t="s">
        <v>24</v>
      </c>
    </row>
    <row r="47" spans="1:8" x14ac:dyDescent="0.35">
      <c r="A47" s="3">
        <v>650</v>
      </c>
      <c r="C47" t="s">
        <v>27</v>
      </c>
      <c r="D47" t="s">
        <v>52</v>
      </c>
      <c r="E47" s="2">
        <v>44851</v>
      </c>
      <c r="F47">
        <v>1</v>
      </c>
      <c r="G47" s="4">
        <v>1200</v>
      </c>
      <c r="H47" t="s">
        <v>24</v>
      </c>
    </row>
    <row r="48" spans="1:8" x14ac:dyDescent="0.35">
      <c r="A48" s="3">
        <v>46</v>
      </c>
      <c r="C48" t="s">
        <v>34</v>
      </c>
      <c r="D48" t="s">
        <v>74</v>
      </c>
      <c r="E48" s="2">
        <v>39146</v>
      </c>
      <c r="F48">
        <v>1</v>
      </c>
      <c r="G48" s="4">
        <v>6410</v>
      </c>
      <c r="H48" t="s">
        <v>24</v>
      </c>
    </row>
    <row r="49" spans="1:8" x14ac:dyDescent="0.35">
      <c r="A49" s="3">
        <v>327</v>
      </c>
      <c r="C49" t="s">
        <v>32</v>
      </c>
      <c r="D49" t="s">
        <v>75</v>
      </c>
      <c r="E49" s="2">
        <v>42264</v>
      </c>
      <c r="F49">
        <v>1</v>
      </c>
      <c r="G49" s="4">
        <v>2100</v>
      </c>
      <c r="H49" t="s">
        <v>24</v>
      </c>
    </row>
    <row r="50" spans="1:8" x14ac:dyDescent="0.35">
      <c r="A50" s="3">
        <v>742</v>
      </c>
      <c r="C50" t="s">
        <v>40</v>
      </c>
      <c r="D50" t="s">
        <v>76</v>
      </c>
      <c r="E50" s="2">
        <v>45950</v>
      </c>
      <c r="F50">
        <v>1</v>
      </c>
      <c r="G50" s="4">
        <v>5500</v>
      </c>
      <c r="H50" t="s">
        <v>24</v>
      </c>
    </row>
    <row r="51" spans="1:8" x14ac:dyDescent="0.35">
      <c r="A51" s="3">
        <v>737</v>
      </c>
      <c r="C51" t="s">
        <v>29</v>
      </c>
      <c r="D51" t="s">
        <v>55</v>
      </c>
      <c r="E51" s="2">
        <v>45916</v>
      </c>
      <c r="F51">
        <v>1</v>
      </c>
      <c r="G51" s="4">
        <v>1300</v>
      </c>
      <c r="H51" t="s">
        <v>24</v>
      </c>
    </row>
    <row r="52" spans="1:8" x14ac:dyDescent="0.35">
      <c r="A52" s="3">
        <v>275</v>
      </c>
      <c r="C52" t="s">
        <v>28</v>
      </c>
      <c r="D52" t="s">
        <v>54</v>
      </c>
      <c r="E52" s="2">
        <v>41879</v>
      </c>
      <c r="F52">
        <v>1</v>
      </c>
      <c r="G52" s="4">
        <v>1600</v>
      </c>
      <c r="H52" t="s">
        <v>24</v>
      </c>
    </row>
    <row r="53" spans="1:8" x14ac:dyDescent="0.35">
      <c r="A53" s="3">
        <v>393</v>
      </c>
      <c r="C53" t="s">
        <v>32</v>
      </c>
      <c r="D53" t="s">
        <v>58</v>
      </c>
      <c r="E53" s="2">
        <v>42723</v>
      </c>
      <c r="F53">
        <v>1</v>
      </c>
      <c r="G53" s="4">
        <v>2100</v>
      </c>
      <c r="H53" t="s">
        <v>24</v>
      </c>
    </row>
    <row r="54" spans="1:8" x14ac:dyDescent="0.35">
      <c r="A54" s="3">
        <v>711</v>
      </c>
      <c r="C54" t="s">
        <v>41</v>
      </c>
      <c r="D54" t="s">
        <v>115</v>
      </c>
      <c r="E54" s="2">
        <v>45547</v>
      </c>
      <c r="F54">
        <v>1</v>
      </c>
      <c r="G54" s="4">
        <v>4600</v>
      </c>
      <c r="H54" t="s">
        <v>24</v>
      </c>
    </row>
    <row r="55" spans="1:8" x14ac:dyDescent="0.35">
      <c r="A55" s="3">
        <v>282</v>
      </c>
      <c r="C55" t="s">
        <v>29</v>
      </c>
      <c r="D55" t="s">
        <v>77</v>
      </c>
      <c r="E55" s="2">
        <v>41913</v>
      </c>
      <c r="F55">
        <v>1</v>
      </c>
      <c r="G55" s="4">
        <v>1300</v>
      </c>
      <c r="H55" t="s">
        <v>24</v>
      </c>
    </row>
    <row r="56" spans="1:8" x14ac:dyDescent="0.35">
      <c r="A56" s="3">
        <v>692</v>
      </c>
      <c r="C56" t="s">
        <v>35</v>
      </c>
      <c r="D56" t="s">
        <v>66</v>
      </c>
      <c r="E56" s="2">
        <v>45320</v>
      </c>
      <c r="F56">
        <v>1</v>
      </c>
      <c r="G56" s="4">
        <v>2220</v>
      </c>
      <c r="H56" t="s">
        <v>24</v>
      </c>
    </row>
    <row r="57" spans="1:8" x14ac:dyDescent="0.35">
      <c r="A57" s="3">
        <v>172</v>
      </c>
      <c r="C57" t="s">
        <v>42</v>
      </c>
      <c r="D57" t="s">
        <v>78</v>
      </c>
      <c r="E57" s="2">
        <v>40799</v>
      </c>
      <c r="F57">
        <v>1</v>
      </c>
      <c r="G57" s="4">
        <v>1000</v>
      </c>
      <c r="H57" t="s">
        <v>24</v>
      </c>
    </row>
    <row r="58" spans="1:8" x14ac:dyDescent="0.35">
      <c r="A58" s="3">
        <v>658</v>
      </c>
      <c r="C58" t="s">
        <v>43</v>
      </c>
      <c r="D58" t="s">
        <v>79</v>
      </c>
      <c r="E58" s="2">
        <v>44935</v>
      </c>
      <c r="F58">
        <v>1</v>
      </c>
      <c r="G58" s="4">
        <v>4300</v>
      </c>
      <c r="H58" t="s">
        <v>24</v>
      </c>
    </row>
    <row r="59" spans="1:8" x14ac:dyDescent="0.35">
      <c r="A59" s="3">
        <v>228</v>
      </c>
      <c r="C59" t="s">
        <v>44</v>
      </c>
      <c r="D59" t="s">
        <v>80</v>
      </c>
      <c r="E59" s="2">
        <v>41527</v>
      </c>
      <c r="F59">
        <v>1</v>
      </c>
      <c r="G59" s="4">
        <v>1100</v>
      </c>
      <c r="H59" t="s">
        <v>24</v>
      </c>
    </row>
    <row r="60" spans="1:8" x14ac:dyDescent="0.35">
      <c r="A60" s="3">
        <v>669</v>
      </c>
      <c r="C60" t="s">
        <v>29</v>
      </c>
      <c r="D60" t="s">
        <v>55</v>
      </c>
      <c r="E60" s="2">
        <v>45048</v>
      </c>
      <c r="F60">
        <v>1</v>
      </c>
      <c r="G60" s="4">
        <v>1300</v>
      </c>
      <c r="H60" t="s">
        <v>24</v>
      </c>
    </row>
    <row r="61" spans="1:8" x14ac:dyDescent="0.35">
      <c r="A61" s="3">
        <v>633</v>
      </c>
      <c r="C61" t="s">
        <v>42</v>
      </c>
      <c r="D61" t="s">
        <v>81</v>
      </c>
      <c r="E61" s="2">
        <v>44754</v>
      </c>
      <c r="F61">
        <v>1</v>
      </c>
      <c r="G61" s="4">
        <v>1000</v>
      </c>
      <c r="H61" t="s">
        <v>24</v>
      </c>
    </row>
    <row r="62" spans="1:8" x14ac:dyDescent="0.35">
      <c r="A62" s="3">
        <v>244</v>
      </c>
      <c r="C62" t="s">
        <v>45</v>
      </c>
      <c r="D62" t="s">
        <v>82</v>
      </c>
      <c r="E62" s="2">
        <v>41640</v>
      </c>
      <c r="F62">
        <v>1</v>
      </c>
      <c r="G62" s="4">
        <v>6110</v>
      </c>
      <c r="H62" t="s">
        <v>24</v>
      </c>
    </row>
    <row r="63" spans="1:8" x14ac:dyDescent="0.35">
      <c r="A63" s="3">
        <v>632</v>
      </c>
      <c r="C63" t="s">
        <v>28</v>
      </c>
      <c r="D63" t="s">
        <v>54</v>
      </c>
      <c r="E63" s="2">
        <v>44750</v>
      </c>
      <c r="F63">
        <v>1</v>
      </c>
      <c r="G63" s="4">
        <v>1600</v>
      </c>
      <c r="H63" t="s">
        <v>24</v>
      </c>
    </row>
    <row r="64" spans="1:8" x14ac:dyDescent="0.35">
      <c r="A64" s="3">
        <v>508</v>
      </c>
      <c r="C64" t="s">
        <v>28</v>
      </c>
      <c r="D64" t="s">
        <v>54</v>
      </c>
      <c r="E64" s="2">
        <v>43774</v>
      </c>
      <c r="F64">
        <v>1</v>
      </c>
      <c r="G64" s="4">
        <v>1600</v>
      </c>
      <c r="H64" t="s">
        <v>24</v>
      </c>
    </row>
    <row r="65" spans="1:8" x14ac:dyDescent="0.35">
      <c r="A65" s="3">
        <v>752</v>
      </c>
      <c r="C65" t="s">
        <v>29</v>
      </c>
      <c r="D65" t="s">
        <v>61</v>
      </c>
      <c r="E65" s="2">
        <v>46062</v>
      </c>
      <c r="F65">
        <v>1</v>
      </c>
      <c r="G65" s="4">
        <v>1300</v>
      </c>
      <c r="H65" t="s">
        <v>24</v>
      </c>
    </row>
    <row r="66" spans="1:8" x14ac:dyDescent="0.35">
      <c r="A66" s="3">
        <v>216</v>
      </c>
      <c r="C66" t="s">
        <v>33</v>
      </c>
      <c r="D66" t="s">
        <v>83</v>
      </c>
      <c r="E66" s="2">
        <v>41387</v>
      </c>
      <c r="F66">
        <v>1</v>
      </c>
      <c r="G66" s="4">
        <v>3200</v>
      </c>
      <c r="H66" t="s">
        <v>24</v>
      </c>
    </row>
    <row r="67" spans="1:8" x14ac:dyDescent="0.35">
      <c r="A67" s="3">
        <v>643</v>
      </c>
      <c r="C67" t="s">
        <v>45</v>
      </c>
      <c r="D67" t="s">
        <v>84</v>
      </c>
      <c r="E67" s="2">
        <v>44831</v>
      </c>
      <c r="F67">
        <v>1</v>
      </c>
      <c r="G67" s="4">
        <v>6110</v>
      </c>
      <c r="H67" t="s">
        <v>24</v>
      </c>
    </row>
    <row r="68" spans="1:8" x14ac:dyDescent="0.35">
      <c r="A68" s="3">
        <v>754</v>
      </c>
      <c r="C68" t="s">
        <v>28</v>
      </c>
      <c r="D68" t="s">
        <v>54</v>
      </c>
      <c r="E68" s="2">
        <v>46065</v>
      </c>
      <c r="F68">
        <v>1</v>
      </c>
      <c r="G68" s="4">
        <v>1600</v>
      </c>
      <c r="H68" t="s">
        <v>24</v>
      </c>
    </row>
    <row r="69" spans="1:8" x14ac:dyDescent="0.35">
      <c r="A69" s="3">
        <v>490</v>
      </c>
      <c r="C69" t="s">
        <v>28</v>
      </c>
      <c r="D69" t="s">
        <v>54</v>
      </c>
      <c r="E69" s="2">
        <v>43640</v>
      </c>
      <c r="F69">
        <v>1</v>
      </c>
      <c r="G69" s="4">
        <v>1600</v>
      </c>
      <c r="H69" t="s">
        <v>24</v>
      </c>
    </row>
    <row r="70" spans="1:8" x14ac:dyDescent="0.35">
      <c r="A70" s="3">
        <v>670</v>
      </c>
      <c r="C70" t="s">
        <v>40</v>
      </c>
      <c r="D70" t="s">
        <v>23</v>
      </c>
      <c r="E70" s="2">
        <v>45068</v>
      </c>
      <c r="F70">
        <v>1</v>
      </c>
      <c r="G70" s="4">
        <v>5500</v>
      </c>
      <c r="H70" t="s">
        <v>24</v>
      </c>
    </row>
    <row r="71" spans="1:8" x14ac:dyDescent="0.35">
      <c r="A71" s="3">
        <v>133</v>
      </c>
      <c r="C71" t="s">
        <v>32</v>
      </c>
      <c r="D71" t="s">
        <v>58</v>
      </c>
      <c r="E71" s="2">
        <v>40239</v>
      </c>
      <c r="F71">
        <v>1</v>
      </c>
      <c r="G71" s="4">
        <v>2100</v>
      </c>
      <c r="H71" t="s">
        <v>24</v>
      </c>
    </row>
    <row r="72" spans="1:8" x14ac:dyDescent="0.35">
      <c r="A72" s="3">
        <v>396</v>
      </c>
      <c r="C72" t="s">
        <v>32</v>
      </c>
      <c r="D72" t="s">
        <v>55</v>
      </c>
      <c r="E72" s="2">
        <v>42738</v>
      </c>
      <c r="F72">
        <v>1</v>
      </c>
      <c r="G72" s="4">
        <v>2100</v>
      </c>
      <c r="H72" t="s">
        <v>24</v>
      </c>
    </row>
    <row r="73" spans="1:8" x14ac:dyDescent="0.35">
      <c r="A73" s="3">
        <v>537</v>
      </c>
      <c r="C73" t="s">
        <v>27</v>
      </c>
      <c r="D73" t="s">
        <v>68</v>
      </c>
      <c r="E73" s="2">
        <v>43895</v>
      </c>
      <c r="F73">
        <v>1</v>
      </c>
      <c r="G73" s="4">
        <v>1200</v>
      </c>
      <c r="H73" t="s">
        <v>24</v>
      </c>
    </row>
    <row r="74" spans="1:8" x14ac:dyDescent="0.35">
      <c r="A74" s="3">
        <v>506</v>
      </c>
      <c r="C74" t="s">
        <v>26</v>
      </c>
      <c r="D74" t="s">
        <v>65</v>
      </c>
      <c r="E74" s="2">
        <v>43753</v>
      </c>
      <c r="F74">
        <v>1</v>
      </c>
      <c r="G74" s="4">
        <v>1400</v>
      </c>
      <c r="H74" t="s">
        <v>24</v>
      </c>
    </row>
    <row r="75" spans="1:8" x14ac:dyDescent="0.35">
      <c r="A75" s="3">
        <v>587</v>
      </c>
      <c r="C75" t="s">
        <v>28</v>
      </c>
      <c r="D75" t="s">
        <v>54</v>
      </c>
      <c r="E75" s="2">
        <v>44307</v>
      </c>
      <c r="F75">
        <v>1</v>
      </c>
      <c r="G75" s="4">
        <v>1600</v>
      </c>
      <c r="H75" t="s">
        <v>24</v>
      </c>
    </row>
    <row r="76" spans="1:8" x14ac:dyDescent="0.35">
      <c r="A76" s="3">
        <v>688</v>
      </c>
      <c r="C76" t="s">
        <v>28</v>
      </c>
      <c r="D76" t="s">
        <v>85</v>
      </c>
      <c r="E76" s="2">
        <v>45231</v>
      </c>
      <c r="F76">
        <v>1</v>
      </c>
      <c r="G76" s="4">
        <v>1600</v>
      </c>
      <c r="H76" t="s">
        <v>24</v>
      </c>
    </row>
    <row r="77" spans="1:8" x14ac:dyDescent="0.35">
      <c r="A77" s="3">
        <v>637</v>
      </c>
      <c r="C77" t="s">
        <v>46</v>
      </c>
      <c r="D77" t="s">
        <v>86</v>
      </c>
      <c r="E77" s="2">
        <v>44795</v>
      </c>
      <c r="F77">
        <v>1</v>
      </c>
      <c r="G77" s="4">
        <v>3110</v>
      </c>
      <c r="H77" t="s">
        <v>24</v>
      </c>
    </row>
    <row r="78" spans="1:8" x14ac:dyDescent="0.35">
      <c r="A78" s="3">
        <v>712</v>
      </c>
      <c r="C78" t="s">
        <v>47</v>
      </c>
      <c r="D78" t="s">
        <v>66</v>
      </c>
      <c r="E78" s="2">
        <v>45559</v>
      </c>
      <c r="F78">
        <v>1</v>
      </c>
      <c r="G78" s="4">
        <v>2410</v>
      </c>
      <c r="H78" t="s">
        <v>24</v>
      </c>
    </row>
    <row r="79" spans="1:8" x14ac:dyDescent="0.35">
      <c r="A79" s="3">
        <v>749</v>
      </c>
      <c r="C79" t="s">
        <v>35</v>
      </c>
      <c r="D79" t="s">
        <v>87</v>
      </c>
      <c r="E79" s="2">
        <v>46041</v>
      </c>
      <c r="F79">
        <v>1</v>
      </c>
      <c r="G79" s="4">
        <v>2220</v>
      </c>
      <c r="H79" t="s">
        <v>24</v>
      </c>
    </row>
    <row r="80" spans="1:8" x14ac:dyDescent="0.35">
      <c r="A80" s="3">
        <v>466</v>
      </c>
      <c r="C80" t="s">
        <v>38</v>
      </c>
      <c r="D80" t="s">
        <v>71</v>
      </c>
      <c r="E80" s="2">
        <v>43416</v>
      </c>
      <c r="F80">
        <v>1</v>
      </c>
      <c r="G80" s="4">
        <v>1800</v>
      </c>
      <c r="H80" t="s">
        <v>24</v>
      </c>
    </row>
    <row r="81" spans="1:8" x14ac:dyDescent="0.35">
      <c r="A81" s="3">
        <v>734</v>
      </c>
      <c r="C81" t="s">
        <v>29</v>
      </c>
      <c r="D81" t="s">
        <v>55</v>
      </c>
      <c r="E81" s="2">
        <v>45916</v>
      </c>
      <c r="F81">
        <v>1</v>
      </c>
      <c r="G81" s="4">
        <v>1300</v>
      </c>
      <c r="H81" t="s">
        <v>24</v>
      </c>
    </row>
    <row r="82" spans="1:8" x14ac:dyDescent="0.35">
      <c r="A82" s="3">
        <v>264</v>
      </c>
      <c r="C82" t="s">
        <v>37</v>
      </c>
      <c r="D82" t="s">
        <v>88</v>
      </c>
      <c r="E82" s="2">
        <v>41830</v>
      </c>
      <c r="F82">
        <v>1</v>
      </c>
      <c r="G82" s="4">
        <v>3500</v>
      </c>
      <c r="H82" t="s">
        <v>24</v>
      </c>
    </row>
    <row r="83" spans="1:8" x14ac:dyDescent="0.35">
      <c r="A83" s="3">
        <v>728</v>
      </c>
      <c r="C83" t="s">
        <v>37</v>
      </c>
      <c r="D83" t="s">
        <v>89</v>
      </c>
      <c r="E83" s="2">
        <v>45845</v>
      </c>
      <c r="F83">
        <v>1</v>
      </c>
      <c r="G83" s="4">
        <v>3500</v>
      </c>
      <c r="H83" t="s">
        <v>24</v>
      </c>
    </row>
    <row r="84" spans="1:8" x14ac:dyDescent="0.35">
      <c r="A84" s="3">
        <v>686</v>
      </c>
      <c r="C84" t="s">
        <v>30</v>
      </c>
      <c r="D84" t="s">
        <v>90</v>
      </c>
      <c r="E84" s="2">
        <v>45208</v>
      </c>
      <c r="F84">
        <v>1</v>
      </c>
      <c r="G84" s="4">
        <v>4400</v>
      </c>
      <c r="H84" t="s">
        <v>24</v>
      </c>
    </row>
    <row r="85" spans="1:8" x14ac:dyDescent="0.35">
      <c r="A85" s="3">
        <v>746</v>
      </c>
      <c r="C85" t="s">
        <v>25</v>
      </c>
      <c r="D85" t="s">
        <v>91</v>
      </c>
      <c r="E85" s="2">
        <v>46006</v>
      </c>
      <c r="F85">
        <v>1</v>
      </c>
      <c r="G85" s="4">
        <v>5400</v>
      </c>
      <c r="H85" t="s">
        <v>24</v>
      </c>
    </row>
    <row r="86" spans="1:8" x14ac:dyDescent="0.35">
      <c r="A86" s="3">
        <v>740</v>
      </c>
      <c r="C86" t="s">
        <v>28</v>
      </c>
      <c r="D86" t="s">
        <v>54</v>
      </c>
      <c r="E86" s="2">
        <v>45937</v>
      </c>
      <c r="F86">
        <v>1</v>
      </c>
      <c r="G86" s="4">
        <v>1600</v>
      </c>
      <c r="H86" t="s">
        <v>116</v>
      </c>
    </row>
    <row r="87" spans="1:8" x14ac:dyDescent="0.35">
      <c r="A87" s="3">
        <v>696</v>
      </c>
      <c r="C87" t="s">
        <v>506</v>
      </c>
      <c r="D87" t="s">
        <v>92</v>
      </c>
      <c r="E87" s="2">
        <v>45357</v>
      </c>
      <c r="F87">
        <v>1</v>
      </c>
      <c r="G87" s="4">
        <v>4100</v>
      </c>
      <c r="H87" t="s">
        <v>24</v>
      </c>
    </row>
    <row r="88" spans="1:8" x14ac:dyDescent="0.35">
      <c r="A88" s="3">
        <v>731</v>
      </c>
      <c r="C88" t="s">
        <v>28</v>
      </c>
      <c r="D88" t="s">
        <v>54</v>
      </c>
      <c r="E88" s="2">
        <v>45873</v>
      </c>
      <c r="F88">
        <v>1</v>
      </c>
      <c r="G88" s="4">
        <v>1600</v>
      </c>
      <c r="H88" t="s">
        <v>24</v>
      </c>
    </row>
    <row r="89" spans="1:8" x14ac:dyDescent="0.35">
      <c r="A89" s="3">
        <v>485</v>
      </c>
      <c r="C89" t="s">
        <v>28</v>
      </c>
      <c r="D89" t="s">
        <v>54</v>
      </c>
      <c r="E89" s="2">
        <v>43543</v>
      </c>
      <c r="F89">
        <v>1</v>
      </c>
      <c r="G89" s="4">
        <v>1600</v>
      </c>
      <c r="H89" t="s">
        <v>24</v>
      </c>
    </row>
    <row r="90" spans="1:8" x14ac:dyDescent="0.35">
      <c r="A90" s="3">
        <v>3</v>
      </c>
      <c r="C90" t="s">
        <v>29</v>
      </c>
      <c r="D90" t="s">
        <v>93</v>
      </c>
      <c r="E90" s="2">
        <v>41611</v>
      </c>
      <c r="F90">
        <v>1</v>
      </c>
      <c r="G90" s="4">
        <v>1300</v>
      </c>
      <c r="H90" t="s">
        <v>24</v>
      </c>
    </row>
    <row r="91" spans="1:8" x14ac:dyDescent="0.35">
      <c r="A91" s="3">
        <v>705</v>
      </c>
      <c r="C91" t="s">
        <v>45</v>
      </c>
      <c r="D91" t="s">
        <v>84</v>
      </c>
      <c r="E91" s="2">
        <v>45509</v>
      </c>
      <c r="F91">
        <v>1</v>
      </c>
      <c r="G91" s="4">
        <v>6110</v>
      </c>
      <c r="H91" t="s">
        <v>24</v>
      </c>
    </row>
    <row r="92" spans="1:8" x14ac:dyDescent="0.35">
      <c r="A92" s="3">
        <v>40</v>
      </c>
      <c r="C92" t="s">
        <v>46</v>
      </c>
      <c r="D92" t="s">
        <v>94</v>
      </c>
      <c r="E92" s="2">
        <v>39125</v>
      </c>
      <c r="F92">
        <v>1</v>
      </c>
      <c r="G92" s="4">
        <v>3110</v>
      </c>
      <c r="H92" t="s">
        <v>24</v>
      </c>
    </row>
    <row r="93" spans="1:8" x14ac:dyDescent="0.35">
      <c r="A93" s="3">
        <v>655</v>
      </c>
      <c r="C93" t="s">
        <v>40</v>
      </c>
      <c r="D93" t="s">
        <v>95</v>
      </c>
      <c r="E93" s="2">
        <v>44900</v>
      </c>
      <c r="F93">
        <v>1</v>
      </c>
      <c r="G93" s="4">
        <v>5500</v>
      </c>
      <c r="H93" t="s">
        <v>24</v>
      </c>
    </row>
    <row r="94" spans="1:8" x14ac:dyDescent="0.35">
      <c r="A94" s="3">
        <v>176</v>
      </c>
      <c r="C94" t="s">
        <v>28</v>
      </c>
      <c r="D94" t="s">
        <v>54</v>
      </c>
      <c r="E94" s="2">
        <v>40817</v>
      </c>
      <c r="F94">
        <v>1</v>
      </c>
      <c r="G94" s="4">
        <v>1600</v>
      </c>
      <c r="H94" t="s">
        <v>24</v>
      </c>
    </row>
    <row r="95" spans="1:8" x14ac:dyDescent="0.35">
      <c r="A95" s="3">
        <v>689</v>
      </c>
      <c r="C95" t="s">
        <v>35</v>
      </c>
      <c r="D95" t="s">
        <v>96</v>
      </c>
      <c r="E95" s="2">
        <v>45231</v>
      </c>
      <c r="F95">
        <v>1</v>
      </c>
      <c r="G95" s="4">
        <v>2220</v>
      </c>
      <c r="H95" t="s">
        <v>24</v>
      </c>
    </row>
    <row r="96" spans="1:8" x14ac:dyDescent="0.35">
      <c r="A96" s="3">
        <v>733</v>
      </c>
      <c r="C96" t="s">
        <v>35</v>
      </c>
      <c r="D96" t="s">
        <v>96</v>
      </c>
      <c r="E96" s="2">
        <v>45923</v>
      </c>
      <c r="F96">
        <v>1</v>
      </c>
      <c r="G96" s="4">
        <v>2220</v>
      </c>
      <c r="H96" t="s">
        <v>24</v>
      </c>
    </row>
    <row r="97" spans="1:8" x14ac:dyDescent="0.35">
      <c r="A97" s="3">
        <v>356</v>
      </c>
      <c r="C97" t="s">
        <v>26</v>
      </c>
      <c r="D97" t="s">
        <v>61</v>
      </c>
      <c r="E97" s="2">
        <v>42403</v>
      </c>
      <c r="F97">
        <v>1</v>
      </c>
      <c r="G97" s="4">
        <v>1400</v>
      </c>
      <c r="H97" t="s">
        <v>24</v>
      </c>
    </row>
    <row r="98" spans="1:8" x14ac:dyDescent="0.35">
      <c r="A98" s="3">
        <v>116</v>
      </c>
      <c r="C98" t="s">
        <v>27</v>
      </c>
      <c r="D98" t="s">
        <v>52</v>
      </c>
      <c r="E98" s="2">
        <v>40112</v>
      </c>
      <c r="F98">
        <v>1</v>
      </c>
      <c r="G98" s="4">
        <v>1200</v>
      </c>
      <c r="H98" t="s">
        <v>24</v>
      </c>
    </row>
    <row r="99" spans="1:8" x14ac:dyDescent="0.35">
      <c r="A99" s="3">
        <v>707</v>
      </c>
      <c r="C99" t="s">
        <v>28</v>
      </c>
      <c r="D99" t="s">
        <v>54</v>
      </c>
      <c r="E99" s="2">
        <v>45516</v>
      </c>
      <c r="F99">
        <v>1</v>
      </c>
      <c r="G99" s="4">
        <v>1600</v>
      </c>
      <c r="H99" t="s">
        <v>24</v>
      </c>
    </row>
    <row r="100" spans="1:8" x14ac:dyDescent="0.35">
      <c r="A100" s="3">
        <v>474</v>
      </c>
      <c r="C100" t="s">
        <v>28</v>
      </c>
      <c r="D100" t="s">
        <v>54</v>
      </c>
      <c r="E100" s="2">
        <v>43486</v>
      </c>
      <c r="F100">
        <v>1</v>
      </c>
      <c r="G100" s="4">
        <v>1600</v>
      </c>
      <c r="H100" t="s">
        <v>24</v>
      </c>
    </row>
    <row r="101" spans="1:8" x14ac:dyDescent="0.35">
      <c r="A101" s="3">
        <v>667</v>
      </c>
      <c r="C101" t="s">
        <v>48</v>
      </c>
      <c r="D101" t="s">
        <v>97</v>
      </c>
      <c r="E101" s="2">
        <v>45055</v>
      </c>
      <c r="F101">
        <v>1</v>
      </c>
      <c r="G101" s="4">
        <v>2440</v>
      </c>
      <c r="H101" t="s">
        <v>24</v>
      </c>
    </row>
    <row r="102" spans="1:8" x14ac:dyDescent="0.35">
      <c r="A102" s="3">
        <v>289</v>
      </c>
      <c r="C102" t="s">
        <v>27</v>
      </c>
      <c r="D102" t="s">
        <v>52</v>
      </c>
      <c r="E102" s="2">
        <v>41928</v>
      </c>
      <c r="F102">
        <v>1</v>
      </c>
      <c r="G102" s="4">
        <v>1200</v>
      </c>
      <c r="H102" t="s">
        <v>24</v>
      </c>
    </row>
    <row r="103" spans="1:8" x14ac:dyDescent="0.35">
      <c r="A103" s="3">
        <v>248</v>
      </c>
      <c r="C103" t="s">
        <v>47</v>
      </c>
      <c r="D103" t="s">
        <v>98</v>
      </c>
      <c r="E103" s="2">
        <v>41680</v>
      </c>
      <c r="F103">
        <v>1</v>
      </c>
      <c r="G103" s="4">
        <v>2410</v>
      </c>
      <c r="H103" t="s">
        <v>24</v>
      </c>
    </row>
    <row r="104" spans="1:8" x14ac:dyDescent="0.35">
      <c r="A104" s="3">
        <v>661</v>
      </c>
      <c r="C104" t="s">
        <v>38</v>
      </c>
      <c r="D104" t="s">
        <v>99</v>
      </c>
      <c r="E104" s="2">
        <v>44974</v>
      </c>
      <c r="F104">
        <v>1</v>
      </c>
      <c r="G104" s="4">
        <v>1800</v>
      </c>
      <c r="H104" t="s">
        <v>24</v>
      </c>
    </row>
    <row r="105" spans="1:8" x14ac:dyDescent="0.35">
      <c r="A105" s="3">
        <v>699</v>
      </c>
      <c r="C105" t="s">
        <v>32</v>
      </c>
      <c r="D105" t="s">
        <v>61</v>
      </c>
      <c r="E105" s="2">
        <v>45404</v>
      </c>
      <c r="F105">
        <v>1</v>
      </c>
      <c r="G105" s="4">
        <v>2100</v>
      </c>
      <c r="H105" t="s">
        <v>24</v>
      </c>
    </row>
    <row r="106" spans="1:8" x14ac:dyDescent="0.35">
      <c r="A106" s="3">
        <v>730</v>
      </c>
      <c r="C106" t="s">
        <v>28</v>
      </c>
      <c r="D106" t="s">
        <v>54</v>
      </c>
      <c r="E106" s="2">
        <v>45873</v>
      </c>
      <c r="F106">
        <v>1</v>
      </c>
      <c r="G106" s="4">
        <v>1600</v>
      </c>
      <c r="H106" t="s">
        <v>24</v>
      </c>
    </row>
    <row r="107" spans="1:8" x14ac:dyDescent="0.35">
      <c r="A107" s="3">
        <v>694</v>
      </c>
      <c r="C107" t="s">
        <v>41</v>
      </c>
      <c r="D107" t="s">
        <v>100</v>
      </c>
      <c r="E107" s="2">
        <v>45323</v>
      </c>
      <c r="F107">
        <v>1</v>
      </c>
      <c r="G107" s="4">
        <v>4600</v>
      </c>
      <c r="H107" t="s">
        <v>24</v>
      </c>
    </row>
    <row r="108" spans="1:8" x14ac:dyDescent="0.35">
      <c r="A108" s="3">
        <v>334</v>
      </c>
      <c r="C108" t="s">
        <v>29</v>
      </c>
      <c r="D108" t="s">
        <v>55</v>
      </c>
      <c r="E108" s="2">
        <v>42296</v>
      </c>
      <c r="F108">
        <v>1</v>
      </c>
      <c r="G108" s="4">
        <v>1300</v>
      </c>
      <c r="H108" t="s">
        <v>24</v>
      </c>
    </row>
    <row r="109" spans="1:8" x14ac:dyDescent="0.35">
      <c r="A109" s="3">
        <v>131</v>
      </c>
      <c r="C109" t="s">
        <v>28</v>
      </c>
      <c r="D109" t="s">
        <v>54</v>
      </c>
      <c r="E109" s="2">
        <v>40212</v>
      </c>
      <c r="F109">
        <v>1</v>
      </c>
      <c r="G109" s="4">
        <v>1600</v>
      </c>
      <c r="H109" t="s">
        <v>24</v>
      </c>
    </row>
    <row r="110" spans="1:8" x14ac:dyDescent="0.35">
      <c r="A110" s="3">
        <v>195</v>
      </c>
      <c r="C110" t="s">
        <v>32</v>
      </c>
      <c r="D110" t="s">
        <v>58</v>
      </c>
      <c r="E110" s="2">
        <v>41256</v>
      </c>
      <c r="F110">
        <v>1</v>
      </c>
      <c r="G110" s="4">
        <v>2100</v>
      </c>
      <c r="H110" t="s">
        <v>24</v>
      </c>
    </row>
    <row r="111" spans="1:8" x14ac:dyDescent="0.35">
      <c r="A111" s="3">
        <v>750</v>
      </c>
      <c r="C111" t="s">
        <v>28</v>
      </c>
      <c r="D111" t="s">
        <v>54</v>
      </c>
      <c r="E111" s="2">
        <v>46055</v>
      </c>
      <c r="F111">
        <v>1</v>
      </c>
      <c r="G111" s="4">
        <v>1600</v>
      </c>
      <c r="H111" t="s">
        <v>116</v>
      </c>
    </row>
    <row r="112" spans="1:8" x14ac:dyDescent="0.35">
      <c r="A112" s="3">
        <v>246</v>
      </c>
      <c r="C112" t="s">
        <v>26</v>
      </c>
      <c r="D112" t="s">
        <v>101</v>
      </c>
      <c r="E112" s="2">
        <v>41653</v>
      </c>
      <c r="F112">
        <v>1</v>
      </c>
      <c r="G112" s="4">
        <v>1400</v>
      </c>
      <c r="H112" t="s">
        <v>24</v>
      </c>
    </row>
    <row r="113" spans="1:8" x14ac:dyDescent="0.35">
      <c r="A113" s="3">
        <v>727</v>
      </c>
      <c r="C113" t="s">
        <v>27</v>
      </c>
      <c r="D113" t="s">
        <v>102</v>
      </c>
      <c r="E113" s="2">
        <v>45873</v>
      </c>
      <c r="F113">
        <v>1</v>
      </c>
      <c r="G113" s="4">
        <v>1200</v>
      </c>
      <c r="H113" t="s">
        <v>24</v>
      </c>
    </row>
    <row r="114" spans="1:8" x14ac:dyDescent="0.35">
      <c r="A114" s="3">
        <v>406</v>
      </c>
      <c r="C114" t="s">
        <v>37</v>
      </c>
      <c r="D114" t="s">
        <v>88</v>
      </c>
      <c r="E114" s="2">
        <v>42795</v>
      </c>
      <c r="F114">
        <v>1</v>
      </c>
      <c r="G114" s="4">
        <v>3500</v>
      </c>
      <c r="H114" t="s">
        <v>24</v>
      </c>
    </row>
    <row r="115" spans="1:8" x14ac:dyDescent="0.35">
      <c r="A115" s="3">
        <v>333</v>
      </c>
      <c r="C115" t="s">
        <v>28</v>
      </c>
      <c r="D115" t="s">
        <v>54</v>
      </c>
      <c r="E115" s="2">
        <v>42296</v>
      </c>
      <c r="F115">
        <v>1</v>
      </c>
      <c r="G115" s="4">
        <v>1600</v>
      </c>
      <c r="H115" t="s">
        <v>24</v>
      </c>
    </row>
    <row r="116" spans="1:8" x14ac:dyDescent="0.35">
      <c r="A116" s="3">
        <v>603</v>
      </c>
      <c r="C116" t="s">
        <v>25</v>
      </c>
      <c r="D116" t="s">
        <v>103</v>
      </c>
      <c r="E116" s="2">
        <v>44545</v>
      </c>
      <c r="F116">
        <v>1</v>
      </c>
      <c r="G116" s="4">
        <v>5400</v>
      </c>
      <c r="H116" t="s">
        <v>24</v>
      </c>
    </row>
    <row r="117" spans="1:8" x14ac:dyDescent="0.35">
      <c r="A117" s="3">
        <v>338</v>
      </c>
      <c r="C117" t="s">
        <v>28</v>
      </c>
      <c r="D117" t="s">
        <v>54</v>
      </c>
      <c r="E117" s="2">
        <v>42310</v>
      </c>
      <c r="F117">
        <v>1</v>
      </c>
      <c r="G117" s="4">
        <v>1600</v>
      </c>
      <c r="H117" t="s">
        <v>24</v>
      </c>
    </row>
    <row r="118" spans="1:8" x14ac:dyDescent="0.35">
      <c r="A118" s="3">
        <v>735</v>
      </c>
      <c r="C118" t="s">
        <v>29</v>
      </c>
      <c r="D118" t="s">
        <v>55</v>
      </c>
      <c r="E118" s="2">
        <v>45916</v>
      </c>
      <c r="F118">
        <v>1</v>
      </c>
      <c r="G118" s="4">
        <v>1300</v>
      </c>
      <c r="H118" t="s">
        <v>24</v>
      </c>
    </row>
    <row r="119" spans="1:8" x14ac:dyDescent="0.35">
      <c r="A119" s="3">
        <v>315</v>
      </c>
      <c r="C119" t="s">
        <v>28</v>
      </c>
      <c r="D119" t="s">
        <v>53</v>
      </c>
      <c r="E119" s="2">
        <v>42088</v>
      </c>
      <c r="F119">
        <v>1</v>
      </c>
      <c r="G119" s="4">
        <v>1600</v>
      </c>
      <c r="H119" t="s">
        <v>24</v>
      </c>
    </row>
    <row r="120" spans="1:8" x14ac:dyDescent="0.35">
      <c r="A120" s="3">
        <v>616</v>
      </c>
      <c r="C120" t="s">
        <v>28</v>
      </c>
      <c r="D120" t="s">
        <v>54</v>
      </c>
      <c r="E120" s="2">
        <v>44634</v>
      </c>
      <c r="F120">
        <v>1</v>
      </c>
      <c r="G120" s="4">
        <v>1600</v>
      </c>
      <c r="H120" t="s">
        <v>24</v>
      </c>
    </row>
    <row r="121" spans="1:8" x14ac:dyDescent="0.35">
      <c r="A121" s="3">
        <v>680</v>
      </c>
      <c r="C121" t="s">
        <v>28</v>
      </c>
      <c r="D121" t="s">
        <v>54</v>
      </c>
      <c r="E121" s="2">
        <v>45145</v>
      </c>
      <c r="F121">
        <v>1</v>
      </c>
      <c r="G121" s="4">
        <v>1600</v>
      </c>
      <c r="H121" t="s">
        <v>24</v>
      </c>
    </row>
    <row r="122" spans="1:8" x14ac:dyDescent="0.35">
      <c r="A122" s="3">
        <v>250</v>
      </c>
      <c r="C122" t="s">
        <v>33</v>
      </c>
      <c r="D122" t="s">
        <v>104</v>
      </c>
      <c r="E122" s="2">
        <v>41723</v>
      </c>
      <c r="F122">
        <v>1</v>
      </c>
      <c r="G122" s="4">
        <v>3200</v>
      </c>
      <c r="H122" t="s">
        <v>24</v>
      </c>
    </row>
    <row r="123" spans="1:8" x14ac:dyDescent="0.35">
      <c r="A123" s="3">
        <v>11</v>
      </c>
      <c r="C123" t="s">
        <v>29</v>
      </c>
      <c r="D123" t="s">
        <v>67</v>
      </c>
      <c r="E123" s="2">
        <v>38845</v>
      </c>
      <c r="F123">
        <v>1</v>
      </c>
      <c r="G123" s="4">
        <v>1300</v>
      </c>
      <c r="H123" t="s">
        <v>24</v>
      </c>
    </row>
    <row r="124" spans="1:8" x14ac:dyDescent="0.35">
      <c r="A124" s="3">
        <v>698</v>
      </c>
      <c r="C124" t="s">
        <v>41</v>
      </c>
      <c r="D124" t="s">
        <v>105</v>
      </c>
      <c r="E124" s="2">
        <v>45383</v>
      </c>
      <c r="F124">
        <v>1</v>
      </c>
      <c r="G124" s="4">
        <v>4600</v>
      </c>
      <c r="H124" t="s">
        <v>24</v>
      </c>
    </row>
    <row r="125" spans="1:8" x14ac:dyDescent="0.35">
      <c r="A125" s="3">
        <v>83</v>
      </c>
      <c r="C125" t="s">
        <v>27</v>
      </c>
      <c r="D125" t="s">
        <v>68</v>
      </c>
      <c r="E125" s="2">
        <v>40875</v>
      </c>
      <c r="F125">
        <v>1</v>
      </c>
      <c r="G125" s="4">
        <v>1200</v>
      </c>
      <c r="H125" t="s">
        <v>24</v>
      </c>
    </row>
    <row r="126" spans="1:8" x14ac:dyDescent="0.35">
      <c r="A126" s="3">
        <v>325</v>
      </c>
      <c r="C126" t="s">
        <v>48</v>
      </c>
      <c r="D126" t="s">
        <v>114</v>
      </c>
      <c r="E126" s="2">
        <v>42233</v>
      </c>
      <c r="F126">
        <v>1</v>
      </c>
      <c r="G126" s="4">
        <v>2440</v>
      </c>
      <c r="H126" t="s">
        <v>24</v>
      </c>
    </row>
    <row r="127" spans="1:8" x14ac:dyDescent="0.35">
      <c r="A127" s="3">
        <v>706</v>
      </c>
      <c r="C127" t="s">
        <v>28</v>
      </c>
      <c r="D127" t="s">
        <v>54</v>
      </c>
      <c r="E127" s="2">
        <v>45516</v>
      </c>
      <c r="F127">
        <v>1</v>
      </c>
      <c r="G127" s="4">
        <v>1600</v>
      </c>
      <c r="H127" t="s">
        <v>24</v>
      </c>
    </row>
    <row r="128" spans="1:8" x14ac:dyDescent="0.35">
      <c r="A128" s="3">
        <v>685</v>
      </c>
      <c r="C128" t="s">
        <v>28</v>
      </c>
      <c r="D128" t="s">
        <v>53</v>
      </c>
      <c r="E128" s="2">
        <v>45208</v>
      </c>
      <c r="F128">
        <v>1</v>
      </c>
      <c r="G128" s="4">
        <v>1600</v>
      </c>
      <c r="H128" t="s">
        <v>24</v>
      </c>
    </row>
    <row r="129" spans="1:8" x14ac:dyDescent="0.35">
      <c r="A129" s="3">
        <v>755</v>
      </c>
      <c r="C129" t="s">
        <v>33</v>
      </c>
      <c r="D129" t="s">
        <v>60</v>
      </c>
      <c r="E129" s="2">
        <v>46076</v>
      </c>
      <c r="F129">
        <v>1</v>
      </c>
      <c r="G129" s="4">
        <v>3200</v>
      </c>
      <c r="H129" t="s">
        <v>24</v>
      </c>
    </row>
    <row r="130" spans="1:8" x14ac:dyDescent="0.35">
      <c r="A130" s="3">
        <v>619</v>
      </c>
      <c r="C130" t="s">
        <v>29</v>
      </c>
      <c r="D130" t="s">
        <v>55</v>
      </c>
      <c r="E130" s="2">
        <v>44648</v>
      </c>
      <c r="F130">
        <v>1</v>
      </c>
      <c r="G130" s="4">
        <v>1300</v>
      </c>
      <c r="H130" t="s">
        <v>24</v>
      </c>
    </row>
    <row r="131" spans="1:8" x14ac:dyDescent="0.35">
      <c r="A131" s="3">
        <v>369</v>
      </c>
      <c r="C131" t="s">
        <v>44</v>
      </c>
      <c r="D131" t="s">
        <v>80</v>
      </c>
      <c r="E131" s="2">
        <v>42515</v>
      </c>
      <c r="F131">
        <v>1</v>
      </c>
      <c r="G131" s="4">
        <v>1100</v>
      </c>
      <c r="H131" t="s">
        <v>24</v>
      </c>
    </row>
    <row r="132" spans="1:8" x14ac:dyDescent="0.35">
      <c r="A132" s="3">
        <v>9</v>
      </c>
      <c r="C132" t="s">
        <v>28</v>
      </c>
      <c r="D132" t="s">
        <v>54</v>
      </c>
      <c r="E132" s="2">
        <v>38692</v>
      </c>
      <c r="F132">
        <v>1</v>
      </c>
      <c r="G132" s="4">
        <v>1600</v>
      </c>
      <c r="H132" t="s">
        <v>24</v>
      </c>
    </row>
    <row r="133" spans="1:8" x14ac:dyDescent="0.35">
      <c r="A133" s="3">
        <v>583</v>
      </c>
      <c r="C133" t="s">
        <v>27</v>
      </c>
      <c r="D133" t="s">
        <v>55</v>
      </c>
      <c r="E133" s="2">
        <v>44299</v>
      </c>
      <c r="F133">
        <v>1</v>
      </c>
      <c r="G133" s="4">
        <v>1200</v>
      </c>
      <c r="H133" t="s">
        <v>24</v>
      </c>
    </row>
    <row r="134" spans="1:8" x14ac:dyDescent="0.35">
      <c r="A134" s="3">
        <v>743</v>
      </c>
      <c r="C134" t="s">
        <v>38</v>
      </c>
      <c r="D134" t="s">
        <v>106</v>
      </c>
      <c r="E134" s="2">
        <v>45968</v>
      </c>
      <c r="F134">
        <v>1</v>
      </c>
      <c r="G134" s="4">
        <v>1800</v>
      </c>
      <c r="H134" t="s">
        <v>24</v>
      </c>
    </row>
    <row r="135" spans="1:8" x14ac:dyDescent="0.35">
      <c r="A135" s="3">
        <v>507</v>
      </c>
      <c r="C135" t="s">
        <v>29</v>
      </c>
      <c r="D135" t="s">
        <v>55</v>
      </c>
      <c r="E135" s="2">
        <v>43753</v>
      </c>
      <c r="F135">
        <v>1</v>
      </c>
      <c r="G135" s="4">
        <v>1300</v>
      </c>
      <c r="H135" t="s">
        <v>24</v>
      </c>
    </row>
    <row r="136" spans="1:8" x14ac:dyDescent="0.35">
      <c r="A136" s="3">
        <v>607</v>
      </c>
      <c r="C136" t="s">
        <v>27</v>
      </c>
      <c r="D136" t="s">
        <v>52</v>
      </c>
      <c r="E136" s="2">
        <v>44587</v>
      </c>
      <c r="F136">
        <v>1</v>
      </c>
      <c r="G136" s="4">
        <v>1200</v>
      </c>
      <c r="H136" t="s">
        <v>24</v>
      </c>
    </row>
    <row r="137" spans="1:8" x14ac:dyDescent="0.35">
      <c r="A137" s="3">
        <v>431</v>
      </c>
      <c r="C137" t="s">
        <v>28</v>
      </c>
      <c r="D137" t="s">
        <v>54</v>
      </c>
      <c r="E137" s="2">
        <v>42977</v>
      </c>
      <c r="F137">
        <v>1</v>
      </c>
      <c r="G137" s="4">
        <v>1600</v>
      </c>
      <c r="H137" t="s">
        <v>24</v>
      </c>
    </row>
    <row r="138" spans="1:8" x14ac:dyDescent="0.35">
      <c r="A138" s="3">
        <v>666</v>
      </c>
      <c r="C138" t="s">
        <v>28</v>
      </c>
      <c r="D138" t="s">
        <v>54</v>
      </c>
      <c r="E138" s="2">
        <v>45042</v>
      </c>
      <c r="F138">
        <v>1</v>
      </c>
      <c r="G138" s="4">
        <v>1600</v>
      </c>
      <c r="H138" t="s">
        <v>24</v>
      </c>
    </row>
    <row r="139" spans="1:8" x14ac:dyDescent="0.35">
      <c r="A139" s="3">
        <v>477</v>
      </c>
      <c r="C139" t="s">
        <v>28</v>
      </c>
      <c r="D139" t="s">
        <v>54</v>
      </c>
      <c r="E139" s="2">
        <v>43502</v>
      </c>
      <c r="F139">
        <v>1</v>
      </c>
      <c r="G139" s="4">
        <v>1600</v>
      </c>
      <c r="H139" t="s">
        <v>24</v>
      </c>
    </row>
    <row r="140" spans="1:8" x14ac:dyDescent="0.35">
      <c r="A140" s="3">
        <v>744</v>
      </c>
      <c r="C140" t="s">
        <v>28</v>
      </c>
      <c r="D140" t="s">
        <v>54</v>
      </c>
      <c r="E140" s="2">
        <v>45968</v>
      </c>
      <c r="F140">
        <v>1</v>
      </c>
      <c r="G140" s="4">
        <v>1600</v>
      </c>
      <c r="H140" t="s">
        <v>24</v>
      </c>
    </row>
    <row r="141" spans="1:8" x14ac:dyDescent="0.35">
      <c r="A141" s="3">
        <v>497</v>
      </c>
      <c r="C141" t="s">
        <v>28</v>
      </c>
      <c r="D141" t="s">
        <v>54</v>
      </c>
      <c r="E141" s="2">
        <v>43678</v>
      </c>
      <c r="F141">
        <v>1</v>
      </c>
      <c r="G141" s="4">
        <v>1600</v>
      </c>
      <c r="H141" t="s">
        <v>116</v>
      </c>
    </row>
    <row r="142" spans="1:8" x14ac:dyDescent="0.35">
      <c r="A142" s="3">
        <v>722</v>
      </c>
      <c r="C142" t="s">
        <v>38</v>
      </c>
      <c r="D142" t="s">
        <v>99</v>
      </c>
      <c r="E142" s="2">
        <v>45761</v>
      </c>
      <c r="F142">
        <v>1</v>
      </c>
      <c r="G142" s="4">
        <v>1800</v>
      </c>
      <c r="H142" t="s">
        <v>24</v>
      </c>
    </row>
    <row r="143" spans="1:8" x14ac:dyDescent="0.35">
      <c r="A143" s="3">
        <v>358</v>
      </c>
      <c r="C143" t="s">
        <v>28</v>
      </c>
      <c r="D143" t="s">
        <v>54</v>
      </c>
      <c r="E143" s="2">
        <v>42425</v>
      </c>
      <c r="F143">
        <v>1</v>
      </c>
      <c r="G143" s="4">
        <v>1600</v>
      </c>
      <c r="H143" t="s">
        <v>24</v>
      </c>
    </row>
    <row r="144" spans="1:8" x14ac:dyDescent="0.35">
      <c r="A144" s="3">
        <v>725</v>
      </c>
      <c r="C144" t="s">
        <v>43</v>
      </c>
      <c r="D144" t="s">
        <v>107</v>
      </c>
      <c r="E144" s="2">
        <v>45804</v>
      </c>
      <c r="F144">
        <v>1</v>
      </c>
      <c r="G144" s="4">
        <v>4300</v>
      </c>
      <c r="H144" t="s">
        <v>24</v>
      </c>
    </row>
    <row r="145" spans="1:8" x14ac:dyDescent="0.35">
      <c r="A145" s="3">
        <v>71</v>
      </c>
      <c r="C145" t="s">
        <v>29</v>
      </c>
      <c r="D145" t="s">
        <v>108</v>
      </c>
      <c r="E145" s="2">
        <v>40660</v>
      </c>
      <c r="F145">
        <v>1</v>
      </c>
      <c r="G145" s="4">
        <v>1300</v>
      </c>
      <c r="H145" t="s">
        <v>24</v>
      </c>
    </row>
    <row r="146" spans="1:8" x14ac:dyDescent="0.35">
      <c r="A146" s="3">
        <v>724</v>
      </c>
      <c r="C146" t="s">
        <v>29</v>
      </c>
      <c r="D146" t="s">
        <v>55</v>
      </c>
      <c r="E146" s="2">
        <v>45789</v>
      </c>
      <c r="F146">
        <v>1</v>
      </c>
      <c r="G146" s="4">
        <v>1300</v>
      </c>
      <c r="H146" t="s">
        <v>24</v>
      </c>
    </row>
    <row r="147" spans="1:8" x14ac:dyDescent="0.35">
      <c r="A147" s="3">
        <v>717</v>
      </c>
      <c r="C147" t="s">
        <v>46</v>
      </c>
      <c r="D147" t="s">
        <v>86</v>
      </c>
      <c r="E147" s="2">
        <v>45621</v>
      </c>
      <c r="F147">
        <v>1</v>
      </c>
      <c r="G147" s="4">
        <v>3110</v>
      </c>
      <c r="H147" t="s">
        <v>24</v>
      </c>
    </row>
    <row r="148" spans="1:8" x14ac:dyDescent="0.35">
      <c r="A148" s="3">
        <v>732</v>
      </c>
      <c r="C148" t="s">
        <v>28</v>
      </c>
      <c r="D148" t="s">
        <v>53</v>
      </c>
      <c r="E148" s="2">
        <v>45901</v>
      </c>
      <c r="F148">
        <v>1</v>
      </c>
      <c r="G148" s="4">
        <v>1600</v>
      </c>
      <c r="H148" t="s">
        <v>24</v>
      </c>
    </row>
    <row r="149" spans="1:8" x14ac:dyDescent="0.35">
      <c r="A149" s="3">
        <v>345</v>
      </c>
      <c r="C149" t="s">
        <v>28</v>
      </c>
      <c r="D149" t="s">
        <v>109</v>
      </c>
      <c r="E149" s="2">
        <v>42346</v>
      </c>
      <c r="F149">
        <v>1</v>
      </c>
      <c r="G149" s="4">
        <v>1600</v>
      </c>
      <c r="H149" t="s">
        <v>24</v>
      </c>
    </row>
    <row r="150" spans="1:8" x14ac:dyDescent="0.35">
      <c r="A150" s="3">
        <v>678</v>
      </c>
      <c r="C150" t="s">
        <v>49</v>
      </c>
      <c r="D150" t="s">
        <v>110</v>
      </c>
      <c r="E150" s="2">
        <v>45096</v>
      </c>
      <c r="F150">
        <v>1</v>
      </c>
      <c r="G150" s="4">
        <v>5600</v>
      </c>
      <c r="H150" t="s">
        <v>24</v>
      </c>
    </row>
    <row r="151" spans="1:8" x14ac:dyDescent="0.35">
      <c r="A151" s="3">
        <v>656</v>
      </c>
      <c r="C151" t="s">
        <v>42</v>
      </c>
      <c r="D151" t="s">
        <v>111</v>
      </c>
      <c r="E151" s="2">
        <v>44907</v>
      </c>
      <c r="F151">
        <v>1</v>
      </c>
      <c r="G151" s="4">
        <v>1000</v>
      </c>
      <c r="H151" t="s">
        <v>116</v>
      </c>
    </row>
    <row r="152" spans="1:8" x14ac:dyDescent="0.35">
      <c r="A152" s="3">
        <v>15</v>
      </c>
      <c r="C152" t="s">
        <v>43</v>
      </c>
      <c r="D152" t="s">
        <v>112</v>
      </c>
      <c r="E152" s="2">
        <v>39097</v>
      </c>
      <c r="F152">
        <v>1</v>
      </c>
      <c r="G152" s="4">
        <v>4300</v>
      </c>
      <c r="H152" t="s">
        <v>24</v>
      </c>
    </row>
    <row r="153" spans="1:8" x14ac:dyDescent="0.35">
      <c r="A153" s="3">
        <v>515</v>
      </c>
      <c r="C153" t="s">
        <v>28</v>
      </c>
      <c r="D153" t="s">
        <v>54</v>
      </c>
      <c r="E153" s="2">
        <v>43794</v>
      </c>
      <c r="F153">
        <v>1</v>
      </c>
      <c r="G153" s="4">
        <v>1600</v>
      </c>
      <c r="H153" t="s">
        <v>24</v>
      </c>
    </row>
    <row r="154" spans="1:8" x14ac:dyDescent="0.35">
      <c r="A154" s="3">
        <v>626</v>
      </c>
      <c r="C154" t="s">
        <v>28</v>
      </c>
      <c r="D154" t="s">
        <v>54</v>
      </c>
      <c r="E154" s="2">
        <v>44725</v>
      </c>
      <c r="F154">
        <v>1</v>
      </c>
      <c r="G154" s="4">
        <v>1600</v>
      </c>
      <c r="H154" t="s">
        <v>116</v>
      </c>
    </row>
    <row r="155" spans="1:8" x14ac:dyDescent="0.35">
      <c r="A155" s="3">
        <v>12</v>
      </c>
      <c r="C155" t="s">
        <v>49</v>
      </c>
      <c r="D155" t="s">
        <v>113</v>
      </c>
      <c r="E155" s="2">
        <v>38852</v>
      </c>
      <c r="F155">
        <v>1</v>
      </c>
      <c r="G155" s="4">
        <v>5600</v>
      </c>
      <c r="H155" t="s">
        <v>24</v>
      </c>
    </row>
  </sheetData>
  <autoFilter ref="A1:H155" xr:uid="{00000000-0001-0000-0000-000000000000}">
    <sortState xmlns:xlrd2="http://schemas.microsoft.com/office/spreadsheetml/2017/richdata2" ref="A2:H153">
      <sortCondition ref="B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56"/>
  <sheetViews>
    <sheetView workbookViewId="0">
      <pane ySplit="1" topLeftCell="A142" activePane="bottomLeft" state="frozen"/>
      <selection pane="bottomLeft" activeCell="C2" sqref="C2:C154"/>
    </sheetView>
  </sheetViews>
  <sheetFormatPr defaultRowHeight="14.5" x14ac:dyDescent="0.35"/>
  <cols>
    <col min="1" max="1" width="12.1796875" bestFit="1" customWidth="1"/>
    <col min="2" max="2" width="13.54296875" bestFit="1" customWidth="1"/>
    <col min="3" max="3" width="41.453125" customWidth="1"/>
    <col min="4" max="4" width="13.7265625" customWidth="1"/>
    <col min="5" max="5" width="41.453125" customWidth="1"/>
    <col min="6" max="6" width="15.26953125" customWidth="1"/>
    <col min="7" max="7" width="14.81640625" customWidth="1"/>
    <col min="8" max="8" width="11.7265625" bestFit="1" customWidth="1"/>
    <col min="9" max="11" width="11.7265625" customWidth="1"/>
    <col min="12" max="13" width="17.453125" customWidth="1"/>
    <col min="14" max="14" width="13.81640625" bestFit="1" customWidth="1"/>
    <col min="15" max="15" width="13.81640625" customWidth="1"/>
    <col min="16" max="16" width="12.1796875" customWidth="1"/>
    <col min="17" max="17" width="24.1796875" customWidth="1"/>
    <col min="18" max="18" width="15.54296875" customWidth="1"/>
    <col min="19" max="19" width="13.7265625" bestFit="1" customWidth="1"/>
    <col min="20" max="20" width="26" customWidth="1"/>
    <col min="22" max="22" width="26.1796875" bestFit="1" customWidth="1"/>
    <col min="23" max="23" width="27.26953125" bestFit="1" customWidth="1"/>
    <col min="24" max="24" width="27.54296875" bestFit="1" customWidth="1"/>
    <col min="25" max="26" width="26.81640625" bestFit="1" customWidth="1"/>
  </cols>
  <sheetData>
    <row r="1" spans="1:25" ht="56.25" customHeight="1" x14ac:dyDescent="0.35">
      <c r="A1" s="7" t="s">
        <v>0</v>
      </c>
      <c r="B1" s="7" t="s">
        <v>8</v>
      </c>
      <c r="C1" s="9" t="s">
        <v>1</v>
      </c>
      <c r="D1" s="9" t="s">
        <v>6</v>
      </c>
      <c r="E1" s="9" t="s">
        <v>2</v>
      </c>
      <c r="F1" s="7" t="s">
        <v>9</v>
      </c>
      <c r="G1" s="7" t="s">
        <v>117</v>
      </c>
      <c r="H1" s="7" t="s">
        <v>118</v>
      </c>
      <c r="I1" s="7" t="s">
        <v>135</v>
      </c>
      <c r="J1" s="7" t="s">
        <v>119</v>
      </c>
      <c r="K1" s="7" t="s">
        <v>136</v>
      </c>
      <c r="L1" s="7" t="s">
        <v>138</v>
      </c>
      <c r="M1" s="7" t="s">
        <v>139</v>
      </c>
      <c r="N1" s="7" t="s">
        <v>131</v>
      </c>
      <c r="O1" s="7" t="s">
        <v>132</v>
      </c>
      <c r="P1" s="7" t="s">
        <v>10</v>
      </c>
      <c r="Q1" s="7" t="s">
        <v>11</v>
      </c>
      <c r="R1" s="7" t="s">
        <v>12</v>
      </c>
      <c r="S1" s="7" t="s">
        <v>13</v>
      </c>
      <c r="T1" s="7" t="s">
        <v>14</v>
      </c>
      <c r="V1" s="10" t="s">
        <v>128</v>
      </c>
      <c r="W1" t="s">
        <v>126</v>
      </c>
    </row>
    <row r="2" spans="1:25" x14ac:dyDescent="0.35">
      <c r="A2" s="4">
        <v>144</v>
      </c>
      <c r="B2" s="2">
        <v>46023</v>
      </c>
      <c r="D2" t="e">
        <f>VLOOKUP(C2,'Master Data'!$B$2:$G$155,6,0)</f>
        <v>#N/A</v>
      </c>
      <c r="E2" t="s">
        <v>25</v>
      </c>
      <c r="F2">
        <v>1431.62</v>
      </c>
      <c r="G2" s="6">
        <v>206.15327999999997</v>
      </c>
      <c r="H2" s="6">
        <v>357.9</v>
      </c>
      <c r="I2" s="6">
        <v>102.26</v>
      </c>
      <c r="J2" s="6">
        <f>F2+G2+H2</f>
        <v>1995.67328</v>
      </c>
      <c r="K2" s="6">
        <v>1548.6424652800001</v>
      </c>
      <c r="L2" s="6">
        <f t="shared" ref="L2:L33" si="0">K2+I2</f>
        <v>1650.9024652800001</v>
      </c>
      <c r="M2" s="6">
        <f>L2*12</f>
        <v>19810.829583360002</v>
      </c>
      <c r="N2" s="6">
        <f t="shared" ref="N2:N16" si="1">J2+(19.62%*(J2)+I2)</f>
        <v>2489.484377536</v>
      </c>
      <c r="O2" s="6">
        <f t="shared" ref="O2:O33" si="2">N2*12</f>
        <v>29873.812530431998</v>
      </c>
      <c r="R2" s="6"/>
      <c r="S2" s="2"/>
      <c r="V2" s="10" t="s">
        <v>130</v>
      </c>
      <c r="W2" t="s">
        <v>127</v>
      </c>
    </row>
    <row r="3" spans="1:25" x14ac:dyDescent="0.35">
      <c r="A3" s="4">
        <v>66</v>
      </c>
      <c r="B3" s="2">
        <v>46023</v>
      </c>
      <c r="D3" t="e">
        <f>VLOOKUP(C3,'Master Data'!$B$2:$G$155,6,0)</f>
        <v>#N/A</v>
      </c>
      <c r="E3" t="s">
        <v>26</v>
      </c>
      <c r="F3">
        <v>639.12</v>
      </c>
      <c r="G3" s="6">
        <v>46.016640000000002</v>
      </c>
      <c r="H3" s="6">
        <v>546.57000000000005</v>
      </c>
      <c r="I3" s="6">
        <v>102.26</v>
      </c>
      <c r="J3" s="6">
        <f t="shared" ref="J3:J33" si="3">F3+G3+H3</f>
        <v>1231.7066400000001</v>
      </c>
      <c r="K3" s="6">
        <v>955.80435264000016</v>
      </c>
      <c r="L3" s="6">
        <f>K3+I3</f>
        <v>1058.0643526400002</v>
      </c>
      <c r="M3" s="6">
        <f t="shared" ref="M3:M66" si="4">L3*12</f>
        <v>12696.772231680003</v>
      </c>
      <c r="N3" s="6">
        <f t="shared" si="1"/>
        <v>1575.6274827680002</v>
      </c>
      <c r="O3" s="6">
        <f t="shared" si="2"/>
        <v>18907.529793216003</v>
      </c>
      <c r="R3" s="6"/>
      <c r="S3" s="2"/>
      <c r="V3" s="10" t="s">
        <v>8</v>
      </c>
      <c r="W3" t="s">
        <v>127</v>
      </c>
    </row>
    <row r="4" spans="1:25" x14ac:dyDescent="0.35">
      <c r="A4" s="4">
        <v>748</v>
      </c>
      <c r="B4" s="2">
        <v>46023</v>
      </c>
      <c r="D4" t="e">
        <f>VLOOKUP(C4,'Master Data'!$B$2:$G$155,6,0)</f>
        <v>#N/A</v>
      </c>
      <c r="E4" t="s">
        <v>27</v>
      </c>
      <c r="F4">
        <v>675.01</v>
      </c>
      <c r="G4" s="6">
        <v>0</v>
      </c>
      <c r="H4" s="6">
        <v>412.2</v>
      </c>
      <c r="I4" s="6">
        <v>102.26</v>
      </c>
      <c r="J4" s="6">
        <f t="shared" si="3"/>
        <v>1087.21</v>
      </c>
      <c r="K4" s="6">
        <v>843.67496000000006</v>
      </c>
      <c r="L4" s="6">
        <f t="shared" si="0"/>
        <v>945.93496000000005</v>
      </c>
      <c r="M4" s="6">
        <f>L4*12</f>
        <v>11351.219520000001</v>
      </c>
      <c r="N4" s="6">
        <f>J4+(19.62%*(J4)+I4)</f>
        <v>1402.780602</v>
      </c>
      <c r="O4" s="6">
        <f t="shared" si="2"/>
        <v>16833.367224000001</v>
      </c>
      <c r="R4" s="6"/>
      <c r="S4" s="2"/>
      <c r="V4" s="10" t="s">
        <v>129</v>
      </c>
      <c r="W4" t="s">
        <v>127</v>
      </c>
    </row>
    <row r="5" spans="1:25" x14ac:dyDescent="0.35">
      <c r="A5" s="4">
        <v>753</v>
      </c>
      <c r="B5" s="2">
        <v>46023</v>
      </c>
      <c r="D5" t="e">
        <f>VLOOKUP(C5,'Master Data'!$B$2:$G$155,6,0)</f>
        <v>#N/A</v>
      </c>
      <c r="E5" t="s">
        <v>28</v>
      </c>
      <c r="F5">
        <v>737</v>
      </c>
      <c r="G5" s="6">
        <v>0</v>
      </c>
      <c r="H5" s="6">
        <v>123.84</v>
      </c>
      <c r="I5" s="6">
        <v>102.26</v>
      </c>
      <c r="J5" s="6">
        <f t="shared" si="3"/>
        <v>860.84</v>
      </c>
      <c r="K5" s="6">
        <v>668.01184000000001</v>
      </c>
      <c r="L5" s="6">
        <f t="shared" si="0"/>
        <v>770.27184</v>
      </c>
      <c r="M5" s="6">
        <f t="shared" si="4"/>
        <v>9243.2620800000004</v>
      </c>
      <c r="N5" s="6">
        <f t="shared" si="1"/>
        <v>1131.9968080000001</v>
      </c>
      <c r="O5" s="6">
        <f t="shared" si="2"/>
        <v>13583.961696000002</v>
      </c>
      <c r="R5" s="6"/>
      <c r="S5" s="2"/>
    </row>
    <row r="6" spans="1:25" x14ac:dyDescent="0.35">
      <c r="A6" s="4">
        <v>747</v>
      </c>
      <c r="B6" s="2">
        <v>46023</v>
      </c>
      <c r="D6" t="e">
        <f>VLOOKUP(C6,'Master Data'!$B$2:$G$155,6,0)</f>
        <v>#N/A</v>
      </c>
      <c r="E6" t="s">
        <v>28</v>
      </c>
      <c r="F6">
        <v>639.12</v>
      </c>
      <c r="G6" s="6">
        <v>0</v>
      </c>
      <c r="H6" s="6">
        <v>85.67</v>
      </c>
      <c r="I6" s="6">
        <v>102.26</v>
      </c>
      <c r="J6" s="6">
        <f t="shared" si="3"/>
        <v>724.79</v>
      </c>
      <c r="K6" s="6">
        <v>562.43704000000002</v>
      </c>
      <c r="L6" s="6">
        <f t="shared" si="0"/>
        <v>664.69704000000002</v>
      </c>
      <c r="M6" s="6">
        <f t="shared" si="4"/>
        <v>7976.3644800000002</v>
      </c>
      <c r="N6" s="6">
        <f t="shared" si="1"/>
        <v>969.25379799999996</v>
      </c>
      <c r="O6" s="6">
        <f t="shared" si="2"/>
        <v>11631.045576</v>
      </c>
      <c r="R6" s="6"/>
      <c r="S6" s="2"/>
      <c r="V6" s="10" t="s">
        <v>123</v>
      </c>
      <c r="W6" t="s">
        <v>133</v>
      </c>
      <c r="X6" t="s">
        <v>134</v>
      </c>
      <c r="Y6" t="s">
        <v>140</v>
      </c>
    </row>
    <row r="7" spans="1:25" x14ac:dyDescent="0.35">
      <c r="A7" s="4">
        <v>648</v>
      </c>
      <c r="B7" s="2">
        <v>46023</v>
      </c>
      <c r="D7" t="e">
        <f>VLOOKUP(C7,'Master Data'!$B$2:$G$155,6,0)</f>
        <v>#N/A</v>
      </c>
      <c r="E7" t="s">
        <v>29</v>
      </c>
      <c r="F7">
        <v>741.38</v>
      </c>
      <c r="G7" s="6">
        <v>4.4482799999999996</v>
      </c>
      <c r="H7" s="6">
        <v>378.87</v>
      </c>
      <c r="I7" s="6">
        <v>102.26</v>
      </c>
      <c r="J7" s="6">
        <f t="shared" si="3"/>
        <v>1124.6982800000001</v>
      </c>
      <c r="K7" s="6">
        <v>872.76586528000007</v>
      </c>
      <c r="L7" s="6">
        <f t="shared" si="0"/>
        <v>975.02586528000006</v>
      </c>
      <c r="M7" s="6">
        <f t="shared" si="4"/>
        <v>11700.31038336</v>
      </c>
      <c r="N7" s="6">
        <f t="shared" si="1"/>
        <v>1447.6240825360001</v>
      </c>
      <c r="O7" s="6">
        <f t="shared" si="2"/>
        <v>17371.488990432001</v>
      </c>
      <c r="R7" s="6"/>
      <c r="S7" s="2"/>
      <c r="V7" s="3" t="s">
        <v>35</v>
      </c>
      <c r="W7" s="6">
        <v>13229.684744720002</v>
      </c>
      <c r="X7" s="6">
        <v>158756.21693664</v>
      </c>
      <c r="Y7" s="6">
        <v>105824.13391487999</v>
      </c>
    </row>
    <row r="8" spans="1:25" x14ac:dyDescent="0.35">
      <c r="A8" s="4">
        <v>263</v>
      </c>
      <c r="B8" s="2">
        <v>46023</v>
      </c>
      <c r="D8" t="e">
        <f>VLOOKUP(C8,'Master Data'!$B$2:$G$155,6,0)</f>
        <v>#N/A</v>
      </c>
      <c r="E8" t="s">
        <v>30</v>
      </c>
      <c r="F8">
        <v>945.89</v>
      </c>
      <c r="G8" s="6">
        <v>90.805440000000004</v>
      </c>
      <c r="H8" s="6">
        <v>561.4</v>
      </c>
      <c r="I8" s="6">
        <v>102.26</v>
      </c>
      <c r="J8" s="6">
        <f t="shared" si="3"/>
        <v>1598.0954400000001</v>
      </c>
      <c r="K8" s="6">
        <v>1240.1220614400002</v>
      </c>
      <c r="L8" s="6">
        <f t="shared" si="0"/>
        <v>1342.3820614400001</v>
      </c>
      <c r="M8" s="6">
        <f t="shared" si="4"/>
        <v>16108.584737280002</v>
      </c>
      <c r="N8" s="6">
        <f t="shared" si="1"/>
        <v>2013.901765328</v>
      </c>
      <c r="O8" s="6">
        <f t="shared" si="2"/>
        <v>24166.821183936001</v>
      </c>
      <c r="R8" s="6"/>
      <c r="S8" s="2"/>
      <c r="V8" s="3" t="s">
        <v>48</v>
      </c>
      <c r="W8" s="6">
        <v>6511.9750855439997</v>
      </c>
      <c r="X8" s="6">
        <v>78143.701026527997</v>
      </c>
      <c r="Y8" s="6">
        <v>53116.320000000007</v>
      </c>
    </row>
    <row r="9" spans="1:25" x14ac:dyDescent="0.35">
      <c r="A9" s="4">
        <v>719</v>
      </c>
      <c r="B9" s="2">
        <v>46023</v>
      </c>
      <c r="D9" t="e">
        <f>VLOOKUP(C9,'Master Data'!$B$2:$G$155,6,0)</f>
        <v>#N/A</v>
      </c>
      <c r="E9" t="s">
        <v>31</v>
      </c>
      <c r="F9">
        <v>741.38</v>
      </c>
      <c r="G9" s="6">
        <v>17.793119999999998</v>
      </c>
      <c r="H9" s="6">
        <v>365.57</v>
      </c>
      <c r="I9" s="6">
        <v>102.26</v>
      </c>
      <c r="J9" s="6">
        <f t="shared" si="3"/>
        <v>1124.7431200000001</v>
      </c>
      <c r="K9" s="6">
        <v>872.80066112000009</v>
      </c>
      <c r="L9" s="6">
        <f t="shared" si="0"/>
        <v>975.06066112000008</v>
      </c>
      <c r="M9" s="6">
        <f t="shared" si="4"/>
        <v>11700.727933440001</v>
      </c>
      <c r="N9" s="6">
        <f t="shared" si="1"/>
        <v>1447.6777201440002</v>
      </c>
      <c r="O9" s="6">
        <f t="shared" si="2"/>
        <v>17372.132641728003</v>
      </c>
      <c r="R9" s="6"/>
      <c r="S9" s="2"/>
      <c r="V9" s="3" t="s">
        <v>47</v>
      </c>
      <c r="W9" s="6">
        <v>4644.1086898480007</v>
      </c>
      <c r="X9" s="6">
        <v>55729.304278176001</v>
      </c>
      <c r="Y9" s="6">
        <v>37014.890292480006</v>
      </c>
    </row>
    <row r="10" spans="1:25" x14ac:dyDescent="0.35">
      <c r="A10" s="4">
        <v>67</v>
      </c>
      <c r="B10" s="2">
        <v>46023</v>
      </c>
      <c r="D10" t="e">
        <f>VLOOKUP(C10,'Master Data'!$B$2:$G$155,6,0)</f>
        <v>#N/A</v>
      </c>
      <c r="E10" t="s">
        <v>29</v>
      </c>
      <c r="F10">
        <v>986.8</v>
      </c>
      <c r="G10" s="6">
        <v>71.049599999999998</v>
      </c>
      <c r="H10" s="6">
        <v>277.63</v>
      </c>
      <c r="I10" s="6">
        <v>102.26</v>
      </c>
      <c r="J10" s="6">
        <f t="shared" si="3"/>
        <v>1335.4796000000001</v>
      </c>
      <c r="K10" s="6">
        <v>1036.3321696</v>
      </c>
      <c r="L10" s="6">
        <f t="shared" si="0"/>
        <v>1138.5921696</v>
      </c>
      <c r="M10" s="6">
        <f t="shared" si="4"/>
        <v>13663.1060352</v>
      </c>
      <c r="N10" s="6">
        <f t="shared" si="1"/>
        <v>1699.7606975200001</v>
      </c>
      <c r="O10" s="6">
        <f t="shared" si="2"/>
        <v>20397.128370240003</v>
      </c>
      <c r="R10" s="6"/>
      <c r="S10" s="2"/>
      <c r="V10" s="3" t="s">
        <v>26</v>
      </c>
      <c r="W10" s="6">
        <v>8010.9454470680012</v>
      </c>
      <c r="X10" s="6">
        <v>96131.345364816007</v>
      </c>
      <c r="Y10" s="6">
        <v>64517.725399680006</v>
      </c>
    </row>
    <row r="11" spans="1:25" x14ac:dyDescent="0.35">
      <c r="A11" s="4">
        <v>615</v>
      </c>
      <c r="B11" s="2">
        <v>46023</v>
      </c>
      <c r="D11" t="e">
        <f>VLOOKUP(C11,'Master Data'!$B$2:$G$155,6,0)</f>
        <v>#N/A</v>
      </c>
      <c r="E11" t="s">
        <v>27</v>
      </c>
      <c r="F11">
        <v>790.97</v>
      </c>
      <c r="G11" s="6">
        <v>47.458199999999998</v>
      </c>
      <c r="H11" s="6">
        <v>269.95999999999998</v>
      </c>
      <c r="I11" s="6">
        <v>102.26</v>
      </c>
      <c r="J11" s="6">
        <f t="shared" si="3"/>
        <v>1108.3882000000001</v>
      </c>
      <c r="K11" s="6">
        <v>860.10924320000015</v>
      </c>
      <c r="L11" s="6">
        <f t="shared" si="0"/>
        <v>962.36924320000014</v>
      </c>
      <c r="M11" s="6">
        <f t="shared" si="4"/>
        <v>11548.430918400001</v>
      </c>
      <c r="N11" s="6">
        <f t="shared" si="1"/>
        <v>1428.1139648400001</v>
      </c>
      <c r="O11" s="6">
        <f t="shared" si="2"/>
        <v>17137.36757808</v>
      </c>
      <c r="R11" s="6"/>
      <c r="S11" s="2"/>
      <c r="V11" s="3" t="s">
        <v>44</v>
      </c>
      <c r="W11" s="6">
        <v>3099.4300550920002</v>
      </c>
      <c r="X11" s="6">
        <v>37193.160661104004</v>
      </c>
      <c r="Y11" s="6">
        <v>24990.105601920004</v>
      </c>
    </row>
    <row r="12" spans="1:25" x14ac:dyDescent="0.35">
      <c r="A12" s="4">
        <v>465</v>
      </c>
      <c r="B12" s="2">
        <v>46023</v>
      </c>
      <c r="D12" t="e">
        <f>VLOOKUP(C12,'Master Data'!$B$2:$G$155,6,0)</f>
        <v>#N/A</v>
      </c>
      <c r="E12" t="s">
        <v>32</v>
      </c>
      <c r="F12">
        <v>940.78</v>
      </c>
      <c r="G12" s="6">
        <v>152.40635999999998</v>
      </c>
      <c r="H12" s="6">
        <v>175.5</v>
      </c>
      <c r="I12" s="6">
        <v>102.26</v>
      </c>
      <c r="J12" s="6">
        <f t="shared" si="3"/>
        <v>1268.6863599999999</v>
      </c>
      <c r="K12" s="6">
        <v>984.50061535999998</v>
      </c>
      <c r="L12" s="6">
        <f t="shared" si="0"/>
        <v>1086.76061536</v>
      </c>
      <c r="M12" s="6">
        <f t="shared" si="4"/>
        <v>13041.12738432</v>
      </c>
      <c r="N12" s="6">
        <f t="shared" si="1"/>
        <v>1619.8626238319998</v>
      </c>
      <c r="O12" s="6">
        <f t="shared" si="2"/>
        <v>19438.351485984</v>
      </c>
      <c r="R12" s="6"/>
      <c r="S12" s="2"/>
      <c r="V12" s="3" t="s">
        <v>32</v>
      </c>
      <c r="W12" s="6">
        <v>21430.414690379999</v>
      </c>
      <c r="X12" s="6">
        <v>257164.97628455996</v>
      </c>
      <c r="Y12" s="6">
        <v>171774.52518336001</v>
      </c>
    </row>
    <row r="13" spans="1:25" x14ac:dyDescent="0.35">
      <c r="A13" s="4">
        <v>608</v>
      </c>
      <c r="B13" s="2">
        <v>46023</v>
      </c>
      <c r="D13" t="e">
        <f>VLOOKUP(C13,'Master Data'!$B$2:$G$155,6,0)</f>
        <v>#N/A</v>
      </c>
      <c r="E13" t="s">
        <v>28</v>
      </c>
      <c r="F13">
        <v>639.12</v>
      </c>
      <c r="G13" s="6">
        <v>26.843040000000002</v>
      </c>
      <c r="H13" s="6">
        <v>71.86</v>
      </c>
      <c r="I13" s="6">
        <v>102.26</v>
      </c>
      <c r="J13" s="6">
        <f t="shared" si="3"/>
        <v>737.82303999999999</v>
      </c>
      <c r="K13" s="6">
        <v>572.55067903999998</v>
      </c>
      <c r="L13" s="6">
        <f t="shared" si="0"/>
        <v>674.81067903999997</v>
      </c>
      <c r="M13" s="6">
        <f t="shared" si="4"/>
        <v>8097.7281484799996</v>
      </c>
      <c r="N13" s="6">
        <f t="shared" si="1"/>
        <v>984.84392044800006</v>
      </c>
      <c r="O13" s="6">
        <f t="shared" si="2"/>
        <v>11818.127045376001</v>
      </c>
      <c r="R13" s="6"/>
      <c r="S13" s="2"/>
      <c r="V13" s="3" t="s">
        <v>30</v>
      </c>
      <c r="W13" s="6">
        <v>3465.5028779280001</v>
      </c>
      <c r="X13" s="6">
        <v>41586.034535136001</v>
      </c>
      <c r="Y13" s="6">
        <v>27839.854913280004</v>
      </c>
    </row>
    <row r="14" spans="1:25" x14ac:dyDescent="0.35">
      <c r="A14" s="4">
        <v>55</v>
      </c>
      <c r="B14" s="2">
        <v>46023</v>
      </c>
      <c r="D14" t="e">
        <f>VLOOKUP(C14,'Master Data'!$B$2:$G$155,6,0)</f>
        <v>#N/A</v>
      </c>
      <c r="E14" t="s">
        <v>27</v>
      </c>
      <c r="F14">
        <v>674.91</v>
      </c>
      <c r="G14" s="6">
        <v>48.593519999999998</v>
      </c>
      <c r="H14" s="6">
        <v>202.21</v>
      </c>
      <c r="I14" s="6">
        <v>102.26</v>
      </c>
      <c r="J14" s="6">
        <f t="shared" si="3"/>
        <v>925.71352000000002</v>
      </c>
      <c r="K14" s="6">
        <v>718.35369151999998</v>
      </c>
      <c r="L14" s="6">
        <f t="shared" si="0"/>
        <v>820.61369151999997</v>
      </c>
      <c r="M14" s="6">
        <f t="shared" si="4"/>
        <v>9847.3642982399997</v>
      </c>
      <c r="N14" s="6">
        <f t="shared" si="1"/>
        <v>1209.598512624</v>
      </c>
      <c r="O14" s="6">
        <f t="shared" si="2"/>
        <v>14515.182151487999</v>
      </c>
      <c r="R14" s="6"/>
      <c r="S14" s="2"/>
      <c r="V14" s="3" t="s">
        <v>29</v>
      </c>
      <c r="W14" s="6">
        <v>30821.385022188002</v>
      </c>
      <c r="X14" s="6">
        <v>369856.62026625592</v>
      </c>
      <c r="Y14" s="6">
        <v>251728.88801088009</v>
      </c>
    </row>
    <row r="15" spans="1:25" x14ac:dyDescent="0.35">
      <c r="A15" s="4">
        <v>6</v>
      </c>
      <c r="B15" s="2">
        <v>46023</v>
      </c>
      <c r="D15" t="e">
        <f>VLOOKUP(C15,'Master Data'!$B$2:$G$155,6,0)</f>
        <v>#N/A</v>
      </c>
      <c r="E15" t="s">
        <v>28</v>
      </c>
      <c r="F15">
        <v>639.12</v>
      </c>
      <c r="G15" s="6">
        <v>76.694400000000002</v>
      </c>
      <c r="H15" s="6">
        <v>88.25</v>
      </c>
      <c r="I15" s="6">
        <v>102.26</v>
      </c>
      <c r="J15" s="6">
        <f t="shared" si="3"/>
        <v>804.06439999999998</v>
      </c>
      <c r="K15" s="6">
        <v>623.95397439999999</v>
      </c>
      <c r="L15" s="6">
        <f t="shared" si="0"/>
        <v>726.21397439999998</v>
      </c>
      <c r="M15" s="6">
        <f t="shared" si="4"/>
        <v>8714.5676927999993</v>
      </c>
      <c r="N15" s="6">
        <f t="shared" si="1"/>
        <v>1064.08183528</v>
      </c>
      <c r="O15" s="6">
        <f t="shared" si="2"/>
        <v>12768.98202336</v>
      </c>
      <c r="R15" s="6"/>
      <c r="S15" s="2"/>
      <c r="V15" s="3" t="s">
        <v>28</v>
      </c>
      <c r="W15" s="6">
        <v>48656.152856948007</v>
      </c>
      <c r="X15" s="6">
        <v>583873.834283376</v>
      </c>
      <c r="Y15" s="6">
        <v>397737.89638848003</v>
      </c>
    </row>
    <row r="16" spans="1:25" x14ac:dyDescent="0.35">
      <c r="A16" s="4">
        <v>697</v>
      </c>
      <c r="B16" s="2">
        <v>46023</v>
      </c>
      <c r="D16" t="e">
        <f>VLOOKUP(C16,'Master Data'!$B$2:$G$155,6,0)</f>
        <v>#N/A</v>
      </c>
      <c r="E16" t="s">
        <v>33</v>
      </c>
      <c r="F16">
        <v>792.51</v>
      </c>
      <c r="G16" s="6">
        <v>14.265180000000001</v>
      </c>
      <c r="H16" s="6">
        <v>323.14</v>
      </c>
      <c r="I16" s="6">
        <v>102.26</v>
      </c>
      <c r="J16" s="6">
        <f t="shared" si="3"/>
        <v>1129.91518</v>
      </c>
      <c r="K16" s="6">
        <v>876.81417968000005</v>
      </c>
      <c r="L16" s="6">
        <f t="shared" si="0"/>
        <v>979.07417968000004</v>
      </c>
      <c r="M16" s="6">
        <f t="shared" si="4"/>
        <v>11748.89015616</v>
      </c>
      <c r="N16" s="6">
        <f t="shared" si="1"/>
        <v>1453.8645383160001</v>
      </c>
      <c r="O16" s="6">
        <f t="shared" si="2"/>
        <v>17446.374459792001</v>
      </c>
      <c r="R16" s="6"/>
      <c r="S16" s="2"/>
      <c r="V16" s="3" t="s">
        <v>49</v>
      </c>
      <c r="W16" s="6">
        <v>3965.8928599119999</v>
      </c>
      <c r="X16" s="6">
        <v>47590.714318943996</v>
      </c>
      <c r="Y16" s="6">
        <v>31735.21648512</v>
      </c>
    </row>
    <row r="17" spans="1:25" x14ac:dyDescent="0.35">
      <c r="A17" s="4">
        <v>736</v>
      </c>
      <c r="B17" s="2">
        <v>46023</v>
      </c>
      <c r="D17" t="e">
        <f>VLOOKUP(C17,'Master Data'!$B$2:$G$155,6,0)</f>
        <v>#N/A</v>
      </c>
      <c r="E17" t="s">
        <v>29</v>
      </c>
      <c r="F17">
        <v>155.94999999999999</v>
      </c>
      <c r="G17" s="6">
        <v>0</v>
      </c>
      <c r="H17" s="6">
        <v>0</v>
      </c>
      <c r="I17" s="6">
        <v>102.26</v>
      </c>
      <c r="J17" s="6">
        <f t="shared" si="3"/>
        <v>155.94999999999999</v>
      </c>
      <c r="K17" s="6">
        <v>140.35</v>
      </c>
      <c r="L17" s="6">
        <f t="shared" si="0"/>
        <v>242.61</v>
      </c>
      <c r="M17" s="6">
        <f t="shared" si="4"/>
        <v>2911.32</v>
      </c>
      <c r="N17" s="6">
        <f>J17+I17</f>
        <v>258.20999999999998</v>
      </c>
      <c r="O17" s="6">
        <f t="shared" si="2"/>
        <v>3098.5199999999995</v>
      </c>
      <c r="R17" s="6"/>
      <c r="S17" s="2"/>
      <c r="V17" s="3" t="s">
        <v>37</v>
      </c>
      <c r="W17" s="6">
        <v>8028.364415772</v>
      </c>
      <c r="X17" s="6">
        <v>96340.372989264011</v>
      </c>
      <c r="Y17" s="6">
        <v>64653.32599872</v>
      </c>
    </row>
    <row r="18" spans="1:25" x14ac:dyDescent="0.35">
      <c r="A18" s="4">
        <v>713</v>
      </c>
      <c r="B18" s="2">
        <v>46023</v>
      </c>
      <c r="D18" t="e">
        <f>VLOOKUP(C18,'Master Data'!$B$2:$G$155,6,0)</f>
        <v>#N/A</v>
      </c>
      <c r="E18" t="s">
        <v>32</v>
      </c>
      <c r="F18">
        <v>935.67</v>
      </c>
      <c r="G18" s="6">
        <v>39.298139999999997</v>
      </c>
      <c r="H18" s="6">
        <v>282.74</v>
      </c>
      <c r="I18" s="6">
        <v>102.26</v>
      </c>
      <c r="J18" s="6">
        <f t="shared" si="3"/>
        <v>1257.70814</v>
      </c>
      <c r="K18" s="6">
        <v>975.98151664</v>
      </c>
      <c r="L18" s="6">
        <f t="shared" si="0"/>
        <v>1078.2415166400001</v>
      </c>
      <c r="M18" s="6">
        <f t="shared" si="4"/>
        <v>12938.898199680001</v>
      </c>
      <c r="N18" s="6">
        <f t="shared" ref="N18:N50" si="5">J18+(19.62%*(J18)+I18)</f>
        <v>1606.730477068</v>
      </c>
      <c r="O18" s="6">
        <f t="shared" si="2"/>
        <v>19280.765724815999</v>
      </c>
      <c r="R18" s="6"/>
      <c r="S18" s="2"/>
      <c r="V18" s="3" t="s">
        <v>34</v>
      </c>
      <c r="W18" s="6">
        <v>3616.1466359399997</v>
      </c>
      <c r="X18" s="6">
        <v>43393.759631279994</v>
      </c>
      <c r="Y18" s="6">
        <v>29012.564054399994</v>
      </c>
    </row>
    <row r="19" spans="1:25" x14ac:dyDescent="0.35">
      <c r="A19" s="4">
        <v>660</v>
      </c>
      <c r="B19" s="2">
        <v>46023</v>
      </c>
      <c r="D19" t="e">
        <f>VLOOKUP(C19,'Master Data'!$B$2:$G$155,6,0)</f>
        <v>#N/A</v>
      </c>
      <c r="E19" t="s">
        <v>34</v>
      </c>
      <c r="F19">
        <v>1135.07</v>
      </c>
      <c r="G19" s="6">
        <v>115.77713999999997</v>
      </c>
      <c r="H19" s="6">
        <v>285.3</v>
      </c>
      <c r="I19" s="6">
        <v>102.26</v>
      </c>
      <c r="J19" s="6">
        <f t="shared" si="3"/>
        <v>1536.1471399999998</v>
      </c>
      <c r="K19" s="6">
        <v>1192.0501806399998</v>
      </c>
      <c r="L19" s="6">
        <f t="shared" si="0"/>
        <v>1294.3101806399998</v>
      </c>
      <c r="M19" s="6">
        <f t="shared" si="4"/>
        <v>15531.722167679996</v>
      </c>
      <c r="N19" s="6">
        <f t="shared" si="5"/>
        <v>1939.7992088679998</v>
      </c>
      <c r="O19" s="6">
        <f t="shared" si="2"/>
        <v>23277.590506415996</v>
      </c>
      <c r="R19" s="6"/>
      <c r="S19" s="2"/>
      <c r="V19" s="3" t="s">
        <v>46</v>
      </c>
      <c r="W19" s="6">
        <v>4747.4369682200004</v>
      </c>
      <c r="X19" s="6">
        <v>56969.243618640008</v>
      </c>
      <c r="Y19" s="6">
        <v>38250.3264672</v>
      </c>
    </row>
    <row r="20" spans="1:25" x14ac:dyDescent="0.35">
      <c r="A20" s="4">
        <v>52</v>
      </c>
      <c r="B20" s="2">
        <v>46023</v>
      </c>
      <c r="D20" t="e">
        <f>VLOOKUP(C20,'Master Data'!$B$2:$G$155,6,0)</f>
        <v>#N/A</v>
      </c>
      <c r="E20" t="s">
        <v>32</v>
      </c>
      <c r="F20">
        <v>915.22</v>
      </c>
      <c r="G20" s="6">
        <v>131.79168000000001</v>
      </c>
      <c r="H20" s="6">
        <v>1068.5999999999999</v>
      </c>
      <c r="I20" s="6">
        <v>102.26</v>
      </c>
      <c r="J20" s="6">
        <f t="shared" si="3"/>
        <v>2115.61168</v>
      </c>
      <c r="K20" s="6">
        <v>1642.16</v>
      </c>
      <c r="L20" s="6">
        <f t="shared" si="0"/>
        <v>1744.42</v>
      </c>
      <c r="M20" s="6">
        <f t="shared" si="4"/>
        <v>20933.04</v>
      </c>
      <c r="N20" s="6">
        <f t="shared" si="5"/>
        <v>2632.9546916159998</v>
      </c>
      <c r="O20" s="6">
        <f t="shared" si="2"/>
        <v>31595.456299391997</v>
      </c>
      <c r="R20" s="6"/>
      <c r="S20" s="2"/>
      <c r="V20" s="3" t="s">
        <v>27</v>
      </c>
      <c r="W20" s="6">
        <v>19607.894773363998</v>
      </c>
      <c r="X20" s="6">
        <v>235294.73728036799</v>
      </c>
      <c r="Y20" s="6">
        <v>158063.06768064</v>
      </c>
    </row>
    <row r="21" spans="1:25" x14ac:dyDescent="0.35">
      <c r="A21" s="4">
        <v>673</v>
      </c>
      <c r="B21" s="2">
        <v>46023</v>
      </c>
      <c r="D21" t="e">
        <f>VLOOKUP(C21,'Master Data'!$B$2:$G$155,6,0)</f>
        <v>#N/A</v>
      </c>
      <c r="E21" t="s">
        <v>28</v>
      </c>
      <c r="F21">
        <v>737</v>
      </c>
      <c r="G21" s="6">
        <v>8.8439999999999994</v>
      </c>
      <c r="H21" s="6">
        <v>242.51</v>
      </c>
      <c r="I21" s="6">
        <v>102.26</v>
      </c>
      <c r="J21" s="6">
        <f t="shared" si="3"/>
        <v>988.35400000000004</v>
      </c>
      <c r="K21" s="6">
        <v>766.96270400000003</v>
      </c>
      <c r="L21" s="6">
        <f t="shared" si="0"/>
        <v>869.22270400000002</v>
      </c>
      <c r="M21" s="6">
        <f t="shared" si="4"/>
        <v>10430.672448000001</v>
      </c>
      <c r="N21" s="6">
        <f t="shared" si="5"/>
        <v>1284.5290548</v>
      </c>
      <c r="O21" s="6">
        <f t="shared" si="2"/>
        <v>15414.3486576</v>
      </c>
      <c r="R21" s="6"/>
      <c r="S21" s="2"/>
      <c r="V21" s="3" t="s">
        <v>42</v>
      </c>
      <c r="W21" s="6">
        <v>9651.4079865120002</v>
      </c>
      <c r="X21" s="6">
        <v>115816.895838144</v>
      </c>
      <c r="Y21" s="6">
        <v>79598.373849600015</v>
      </c>
    </row>
    <row r="22" spans="1:25" x14ac:dyDescent="0.35">
      <c r="A22" s="4">
        <v>580</v>
      </c>
      <c r="B22" s="2">
        <v>46023</v>
      </c>
      <c r="D22" t="e">
        <f>VLOOKUP(C22,'Master Data'!$B$2:$G$155,6,0)</f>
        <v>#N/A</v>
      </c>
      <c r="E22" t="s">
        <v>35</v>
      </c>
      <c r="F22">
        <v>1037.93</v>
      </c>
      <c r="G22" s="6">
        <v>56.048220000000008</v>
      </c>
      <c r="H22" s="6">
        <v>777.16</v>
      </c>
      <c r="I22" s="6">
        <v>102.26</v>
      </c>
      <c r="J22" s="6">
        <f t="shared" si="3"/>
        <v>1871.1382199999998</v>
      </c>
      <c r="K22" s="6">
        <v>1452.0032587199998</v>
      </c>
      <c r="L22" s="6">
        <f t="shared" si="0"/>
        <v>1554.2632587199998</v>
      </c>
      <c r="M22" s="6">
        <f t="shared" si="4"/>
        <v>18651.159104639999</v>
      </c>
      <c r="N22" s="6">
        <f t="shared" si="5"/>
        <v>2340.5155387639998</v>
      </c>
      <c r="O22" s="6">
        <f t="shared" si="2"/>
        <v>28086.186465167997</v>
      </c>
      <c r="R22" s="6"/>
      <c r="S22" s="2"/>
      <c r="V22" s="3" t="s">
        <v>36</v>
      </c>
      <c r="W22" s="6">
        <v>2432.6107136000001</v>
      </c>
      <c r="X22" s="6">
        <v>29191.328563200001</v>
      </c>
      <c r="Y22" s="6">
        <v>19368.087936000004</v>
      </c>
    </row>
    <row r="23" spans="1:25" x14ac:dyDescent="0.35">
      <c r="A23" s="4">
        <v>682</v>
      </c>
      <c r="B23" s="2">
        <v>46023</v>
      </c>
      <c r="D23" t="e">
        <f>VLOOKUP(C23,'Master Data'!$B$2:$G$155,6,0)</f>
        <v>#N/A</v>
      </c>
      <c r="E23" t="s">
        <v>28</v>
      </c>
      <c r="F23">
        <v>639.12</v>
      </c>
      <c r="G23" s="6">
        <v>65.190239999999989</v>
      </c>
      <c r="H23" s="6">
        <v>126.98</v>
      </c>
      <c r="I23" s="6">
        <v>102.26</v>
      </c>
      <c r="J23" s="6">
        <f t="shared" si="3"/>
        <v>831.29024000000004</v>
      </c>
      <c r="K23" s="6">
        <v>645.08122624000009</v>
      </c>
      <c r="L23" s="6">
        <f t="shared" si="0"/>
        <v>747.34122624000008</v>
      </c>
      <c r="M23" s="6">
        <f t="shared" si="4"/>
        <v>8968.0947148800005</v>
      </c>
      <c r="N23" s="6">
        <f t="shared" si="5"/>
        <v>1096.6493850880001</v>
      </c>
      <c r="O23" s="6">
        <f t="shared" si="2"/>
        <v>13159.792621056002</v>
      </c>
      <c r="R23" s="6"/>
      <c r="S23" s="2"/>
      <c r="V23" s="3" t="s">
        <v>45</v>
      </c>
      <c r="W23" s="6">
        <v>3351.803705112</v>
      </c>
      <c r="X23" s="6">
        <v>40221.644461343996</v>
      </c>
      <c r="Y23" s="6">
        <v>27385.808037119998</v>
      </c>
    </row>
    <row r="24" spans="1:25" x14ac:dyDescent="0.35">
      <c r="A24" s="4">
        <v>566</v>
      </c>
      <c r="B24" s="2">
        <v>46023</v>
      </c>
      <c r="D24" t="e">
        <f>VLOOKUP(C24,'Master Data'!$B$2:$G$155,6,0)</f>
        <v>#N/A</v>
      </c>
      <c r="E24" t="s">
        <v>28</v>
      </c>
      <c r="F24">
        <v>639.12</v>
      </c>
      <c r="G24" s="6">
        <v>53.686080000000004</v>
      </c>
      <c r="H24" s="6">
        <v>58.25</v>
      </c>
      <c r="I24" s="6">
        <v>102.26</v>
      </c>
      <c r="J24" s="6">
        <f t="shared" si="3"/>
        <v>751.05608000000007</v>
      </c>
      <c r="K24" s="6">
        <v>582.81951808000008</v>
      </c>
      <c r="L24" s="6">
        <f t="shared" si="0"/>
        <v>685.07951808000007</v>
      </c>
      <c r="M24" s="6">
        <f t="shared" si="4"/>
        <v>8220.9542169600008</v>
      </c>
      <c r="N24" s="6">
        <f t="shared" si="5"/>
        <v>1000.673282896</v>
      </c>
      <c r="O24" s="6">
        <f t="shared" si="2"/>
        <v>12008.079394752</v>
      </c>
      <c r="R24" s="6"/>
      <c r="S24" s="2"/>
      <c r="V24" s="3" t="s">
        <v>33</v>
      </c>
      <c r="W24" s="6">
        <v>5789.9642603840002</v>
      </c>
      <c r="X24" s="6">
        <v>69479.571124608003</v>
      </c>
      <c r="Y24" s="6">
        <v>46797.099555840003</v>
      </c>
    </row>
    <row r="25" spans="1:25" x14ac:dyDescent="0.35">
      <c r="A25" s="4">
        <v>708</v>
      </c>
      <c r="B25" s="2">
        <v>46023</v>
      </c>
      <c r="D25" t="e">
        <f>VLOOKUP(C25,'Master Data'!$B$2:$G$155,6,0)</f>
        <v>#N/A</v>
      </c>
      <c r="E25" t="s">
        <v>35</v>
      </c>
      <c r="F25">
        <v>1237.33</v>
      </c>
      <c r="G25" s="6">
        <v>74.239800000000002</v>
      </c>
      <c r="H25" s="6">
        <v>343.59</v>
      </c>
      <c r="I25" s="6">
        <v>102.26</v>
      </c>
      <c r="J25" s="6">
        <f t="shared" si="3"/>
        <v>1655.1597999999999</v>
      </c>
      <c r="K25" s="6">
        <v>1284.4040047999999</v>
      </c>
      <c r="L25" s="6">
        <f t="shared" si="0"/>
        <v>1386.6640047999999</v>
      </c>
      <c r="M25" s="6">
        <f t="shared" si="4"/>
        <v>16639.968057599999</v>
      </c>
      <c r="N25" s="6">
        <f t="shared" si="5"/>
        <v>2082.16215276</v>
      </c>
      <c r="O25" s="6">
        <f t="shared" si="2"/>
        <v>24985.94583312</v>
      </c>
      <c r="R25" s="6"/>
      <c r="S25" s="2"/>
      <c r="V25" s="3" t="s">
        <v>43</v>
      </c>
      <c r="W25" s="6">
        <v>5294.1012773319999</v>
      </c>
      <c r="X25" s="6">
        <v>63529.215327983999</v>
      </c>
      <c r="Y25" s="6">
        <v>42505.917544319993</v>
      </c>
    </row>
    <row r="26" spans="1:25" x14ac:dyDescent="0.35">
      <c r="A26" s="4">
        <v>368</v>
      </c>
      <c r="B26" s="2">
        <v>46023</v>
      </c>
      <c r="D26" t="e">
        <f>VLOOKUP(C26,'Master Data'!$B$2:$G$155,6,0)</f>
        <v>#N/A</v>
      </c>
      <c r="E26" t="s">
        <v>29</v>
      </c>
      <c r="F26">
        <v>741.38</v>
      </c>
      <c r="G26" s="6">
        <v>40.034520000000001</v>
      </c>
      <c r="H26" s="6">
        <v>209.63</v>
      </c>
      <c r="I26" s="6">
        <v>102.26</v>
      </c>
      <c r="J26" s="6">
        <f t="shared" si="3"/>
        <v>991.04452000000003</v>
      </c>
      <c r="K26" s="6">
        <v>769.05054752000001</v>
      </c>
      <c r="L26" s="6">
        <f t="shared" si="0"/>
        <v>871.31054752</v>
      </c>
      <c r="M26" s="6">
        <f t="shared" si="4"/>
        <v>10455.72657024</v>
      </c>
      <c r="N26" s="6">
        <f t="shared" si="5"/>
        <v>1287.747454824</v>
      </c>
      <c r="O26" s="6">
        <f t="shared" si="2"/>
        <v>15452.969457888001</v>
      </c>
      <c r="R26" s="6"/>
      <c r="S26" s="2"/>
      <c r="V26" s="3" t="s">
        <v>25</v>
      </c>
      <c r="W26" s="6">
        <v>6983.7661225799993</v>
      </c>
      <c r="X26" s="6">
        <v>83805.193470959988</v>
      </c>
      <c r="Y26" s="6">
        <v>55658.828136960001</v>
      </c>
    </row>
    <row r="27" spans="1:25" x14ac:dyDescent="0.35">
      <c r="A27" s="4">
        <v>239</v>
      </c>
      <c r="B27" s="2">
        <v>46023</v>
      </c>
      <c r="D27" t="e">
        <f>VLOOKUP(C27,'Master Data'!$B$2:$G$155,6,0)</f>
        <v>#N/A</v>
      </c>
      <c r="E27" t="s">
        <v>26</v>
      </c>
      <c r="F27">
        <v>838.52</v>
      </c>
      <c r="G27" s="6">
        <v>60.373440000000002</v>
      </c>
      <c r="H27" s="6">
        <v>248.67</v>
      </c>
      <c r="I27" s="6">
        <v>102.26</v>
      </c>
      <c r="J27" s="6">
        <f t="shared" si="3"/>
        <v>1147.5634399999999</v>
      </c>
      <c r="K27" s="6">
        <v>890.5092294399999</v>
      </c>
      <c r="L27" s="6">
        <f t="shared" si="0"/>
        <v>992.76922943999989</v>
      </c>
      <c r="M27" s="6">
        <f t="shared" si="4"/>
        <v>11913.230753279999</v>
      </c>
      <c r="N27" s="6">
        <f t="shared" si="5"/>
        <v>1474.9753869279998</v>
      </c>
      <c r="O27" s="6">
        <f t="shared" si="2"/>
        <v>17699.704643136</v>
      </c>
      <c r="R27" s="6"/>
      <c r="S27" s="2"/>
      <c r="V27" s="3" t="s">
        <v>31</v>
      </c>
      <c r="W27" s="6">
        <v>1447.6777201440002</v>
      </c>
      <c r="X27" s="6">
        <v>17372.132641728003</v>
      </c>
      <c r="Y27" s="6">
        <v>11700.727933440001</v>
      </c>
    </row>
    <row r="28" spans="1:25" x14ac:dyDescent="0.35">
      <c r="A28" s="4">
        <v>741</v>
      </c>
      <c r="B28" s="2">
        <v>46023</v>
      </c>
      <c r="D28" t="e">
        <f>VLOOKUP(C28,'Master Data'!$B$2:$G$155,6,0)</f>
        <v>#N/A</v>
      </c>
      <c r="E28" t="s">
        <v>28</v>
      </c>
      <c r="F28">
        <v>690.25</v>
      </c>
      <c r="G28" s="6">
        <v>0</v>
      </c>
      <c r="H28" s="6">
        <v>232.64</v>
      </c>
      <c r="I28" s="6">
        <v>102.26</v>
      </c>
      <c r="J28" s="6">
        <f t="shared" si="3"/>
        <v>922.89</v>
      </c>
      <c r="K28" s="6">
        <v>716.16264000000001</v>
      </c>
      <c r="L28" s="6">
        <f t="shared" si="0"/>
        <v>818.42264</v>
      </c>
      <c r="M28" s="6">
        <f t="shared" si="4"/>
        <v>9821.0716800000009</v>
      </c>
      <c r="N28" s="6">
        <f t="shared" si="5"/>
        <v>1206.221018</v>
      </c>
      <c r="O28" s="6">
        <f t="shared" si="2"/>
        <v>14474.652215999999</v>
      </c>
      <c r="R28" s="6"/>
      <c r="S28" s="2"/>
      <c r="V28" s="3" t="s">
        <v>39</v>
      </c>
      <c r="W28" s="6">
        <v>3867.5615156480007</v>
      </c>
      <c r="X28" s="6">
        <v>46410.738187776005</v>
      </c>
      <c r="Y28" s="6">
        <v>32079.840000000004</v>
      </c>
    </row>
    <row r="29" spans="1:25" x14ac:dyDescent="0.35">
      <c r="A29" s="4">
        <v>738</v>
      </c>
      <c r="B29" s="2">
        <v>46023</v>
      </c>
      <c r="D29" t="e">
        <f>VLOOKUP(C29,'Master Data'!$B$2:$G$155,6,0)</f>
        <v>#N/A</v>
      </c>
      <c r="E29" t="s">
        <v>29</v>
      </c>
      <c r="F29">
        <v>792.51</v>
      </c>
      <c r="G29" s="6">
        <v>57.060720000000003</v>
      </c>
      <c r="H29" s="6">
        <v>205.03</v>
      </c>
      <c r="I29" s="6">
        <v>102.26</v>
      </c>
      <c r="J29" s="6">
        <f t="shared" si="3"/>
        <v>1054.6007199999999</v>
      </c>
      <c r="K29" s="6">
        <v>818.37015871999995</v>
      </c>
      <c r="L29" s="6">
        <f t="shared" si="0"/>
        <v>920.63015871999994</v>
      </c>
      <c r="M29" s="6">
        <f t="shared" si="4"/>
        <v>11047.561904639999</v>
      </c>
      <c r="N29" s="6">
        <f t="shared" si="5"/>
        <v>1363.7733812639999</v>
      </c>
      <c r="O29" s="6">
        <f t="shared" si="2"/>
        <v>16365.280575167999</v>
      </c>
      <c r="R29" s="6"/>
      <c r="S29" s="2"/>
      <c r="V29" s="3" t="s">
        <v>41</v>
      </c>
      <c r="W29" s="6">
        <v>12211.333236644001</v>
      </c>
      <c r="X29" s="6">
        <v>146535.99883972801</v>
      </c>
      <c r="Y29" s="6">
        <v>101734.56</v>
      </c>
    </row>
    <row r="30" spans="1:25" x14ac:dyDescent="0.35">
      <c r="A30" s="4">
        <v>726</v>
      </c>
      <c r="B30" s="2">
        <v>46023</v>
      </c>
      <c r="D30" t="e">
        <f>VLOOKUP(C30,'Master Data'!$B$2:$G$155,6,0)</f>
        <v>#N/A</v>
      </c>
      <c r="E30" t="s">
        <v>28</v>
      </c>
      <c r="F30">
        <v>741.38</v>
      </c>
      <c r="G30" s="6">
        <v>0</v>
      </c>
      <c r="H30" s="6">
        <v>247.47</v>
      </c>
      <c r="I30" s="6">
        <v>102.26</v>
      </c>
      <c r="J30" s="6">
        <f t="shared" si="3"/>
        <v>988.85</v>
      </c>
      <c r="K30" s="6">
        <v>767.34760000000006</v>
      </c>
      <c r="L30" s="6">
        <f t="shared" si="0"/>
        <v>869.60760000000005</v>
      </c>
      <c r="M30" s="6">
        <f t="shared" si="4"/>
        <v>10435.2912</v>
      </c>
      <c r="N30" s="6">
        <f t="shared" si="5"/>
        <v>1285.12237</v>
      </c>
      <c r="O30" s="6">
        <f t="shared" si="2"/>
        <v>15421.468440000001</v>
      </c>
      <c r="R30" s="6"/>
      <c r="S30" s="2"/>
      <c r="V30" s="3" t="s">
        <v>40</v>
      </c>
      <c r="W30" s="6">
        <v>6425.0851471279993</v>
      </c>
      <c r="X30" s="6">
        <v>77101.021765535988</v>
      </c>
      <c r="Y30" s="6">
        <v>51310.232705279996</v>
      </c>
    </row>
    <row r="31" spans="1:25" x14ac:dyDescent="0.35">
      <c r="A31" s="4">
        <v>231</v>
      </c>
      <c r="B31" s="2">
        <v>46023</v>
      </c>
      <c r="D31" t="e">
        <f>VLOOKUP(C31,'Master Data'!$B$2:$G$155,6,0)</f>
        <v>#N/A</v>
      </c>
      <c r="E31" t="s">
        <v>36</v>
      </c>
      <c r="F31">
        <v>690.25</v>
      </c>
      <c r="G31" s="6">
        <v>49.698</v>
      </c>
      <c r="H31" s="6">
        <v>1208.18</v>
      </c>
      <c r="I31" s="6">
        <v>102.26</v>
      </c>
      <c r="J31" s="6">
        <f t="shared" si="3"/>
        <v>1948.1280000000002</v>
      </c>
      <c r="K31" s="6">
        <v>1511.7473280000002</v>
      </c>
      <c r="L31" s="6">
        <f t="shared" si="0"/>
        <v>1614.0073280000001</v>
      </c>
      <c r="M31" s="6">
        <f t="shared" si="4"/>
        <v>19368.087936000004</v>
      </c>
      <c r="N31" s="6">
        <f t="shared" si="5"/>
        <v>2432.6107136000001</v>
      </c>
      <c r="O31" s="6">
        <f t="shared" si="2"/>
        <v>29191.328563200001</v>
      </c>
      <c r="R31" s="6"/>
      <c r="S31" s="2"/>
      <c r="V31" s="3" t="s">
        <v>38</v>
      </c>
      <c r="W31" s="6">
        <v>9134.70209178</v>
      </c>
      <c r="X31" s="6">
        <v>109616.42510136</v>
      </c>
      <c r="Y31" s="6">
        <v>73345.946849280008</v>
      </c>
    </row>
    <row r="32" spans="1:25" x14ac:dyDescent="0.35">
      <c r="A32" s="4">
        <v>610</v>
      </c>
      <c r="B32" s="2">
        <v>46023</v>
      </c>
      <c r="D32" t="e">
        <f>VLOOKUP(C32,'Master Data'!$B$2:$G$155,6,0)</f>
        <v>#N/A</v>
      </c>
      <c r="E32" t="s">
        <v>29</v>
      </c>
      <c r="F32">
        <v>986.8</v>
      </c>
      <c r="G32" s="6">
        <v>112.49520000000001</v>
      </c>
      <c r="H32" s="6">
        <v>296.55</v>
      </c>
      <c r="I32" s="6">
        <v>102.26</v>
      </c>
      <c r="J32" s="6">
        <f t="shared" si="3"/>
        <v>1395.8452</v>
      </c>
      <c r="K32" s="6">
        <v>1083.1758752000001</v>
      </c>
      <c r="L32" s="6">
        <f t="shared" si="0"/>
        <v>1185.4358752000001</v>
      </c>
      <c r="M32" s="6">
        <f t="shared" si="4"/>
        <v>14225.230502400002</v>
      </c>
      <c r="N32" s="6">
        <f t="shared" si="5"/>
        <v>1771.9700282399999</v>
      </c>
      <c r="O32" s="6">
        <f t="shared" si="2"/>
        <v>21263.640338879999</v>
      </c>
      <c r="R32" s="6"/>
      <c r="S32" s="2"/>
      <c r="V32" s="3" t="s">
        <v>506</v>
      </c>
      <c r="W32" s="6">
        <v>1843.2646248200001</v>
      </c>
      <c r="X32" s="6">
        <v>22119.175497840002</v>
      </c>
      <c r="Y32" s="6">
        <v>14780.234083200001</v>
      </c>
    </row>
    <row r="33" spans="1:25" x14ac:dyDescent="0.35">
      <c r="A33" s="4">
        <v>751</v>
      </c>
      <c r="B33" s="2">
        <v>46023</v>
      </c>
      <c r="D33" t="e">
        <f>VLOOKUP(C33,'Master Data'!$B$2:$G$155,6,0)</f>
        <v>#N/A</v>
      </c>
      <c r="E33" t="s">
        <v>29</v>
      </c>
      <c r="F33">
        <v>987</v>
      </c>
      <c r="G33" s="6">
        <v>0</v>
      </c>
      <c r="H33" s="6">
        <v>265.68</v>
      </c>
      <c r="I33" s="6">
        <v>102.26</v>
      </c>
      <c r="J33" s="6">
        <f t="shared" si="3"/>
        <v>1252.68</v>
      </c>
      <c r="K33" s="6">
        <v>972.07968000000005</v>
      </c>
      <c r="L33" s="6">
        <f t="shared" si="0"/>
        <v>1074.33968</v>
      </c>
      <c r="M33" s="6">
        <f t="shared" si="4"/>
        <v>12892.076160000001</v>
      </c>
      <c r="N33" s="6">
        <f t="shared" si="5"/>
        <v>1600.7158160000001</v>
      </c>
      <c r="O33" s="6">
        <f t="shared" si="2"/>
        <v>19208.589792000002</v>
      </c>
      <c r="R33" s="6"/>
      <c r="S33" s="2"/>
      <c r="V33" s="3" t="s">
        <v>124</v>
      </c>
      <c r="W33" s="6">
        <v>248268.61352460805</v>
      </c>
      <c r="X33" s="6">
        <v>2979223.3622952965</v>
      </c>
      <c r="Y33" s="6">
        <v>2012524.49702208</v>
      </c>
    </row>
    <row r="34" spans="1:25" x14ac:dyDescent="0.35">
      <c r="A34" s="4">
        <v>623</v>
      </c>
      <c r="B34" s="2">
        <v>46023</v>
      </c>
      <c r="D34" t="e">
        <f>VLOOKUP(C34,'Master Data'!$B$2:$G$155,6,0)</f>
        <v>#N/A</v>
      </c>
      <c r="E34" t="s">
        <v>32</v>
      </c>
      <c r="F34">
        <v>715.81</v>
      </c>
      <c r="G34" s="6">
        <v>12.884579999999998</v>
      </c>
      <c r="H34" s="6">
        <v>856.93</v>
      </c>
      <c r="I34" s="6">
        <v>102.26</v>
      </c>
      <c r="J34" s="6">
        <f t="shared" ref="J34:J65" si="6">F34+G34+H34</f>
        <v>1585.6245799999999</v>
      </c>
      <c r="K34" s="6">
        <v>1230.4446740799999</v>
      </c>
      <c r="L34" s="6">
        <f t="shared" ref="L34:L65" si="7">K34+I34</f>
        <v>1332.7046740799999</v>
      </c>
      <c r="M34" s="6">
        <f t="shared" si="4"/>
        <v>15992.45608896</v>
      </c>
      <c r="N34" s="6">
        <f t="shared" si="5"/>
        <v>1998.9841225959999</v>
      </c>
      <c r="O34" s="6">
        <f t="shared" ref="O34:O65" si="8">N34*12</f>
        <v>23987.809471151999</v>
      </c>
      <c r="R34" s="6"/>
      <c r="S34" s="2"/>
    </row>
    <row r="35" spans="1:25" x14ac:dyDescent="0.35">
      <c r="A35" s="4">
        <v>745</v>
      </c>
      <c r="B35" s="2">
        <v>46023</v>
      </c>
      <c r="D35" t="e">
        <f>VLOOKUP(C35,'Master Data'!$B$2:$G$155,6,0)</f>
        <v>#N/A</v>
      </c>
      <c r="E35" t="s">
        <v>29</v>
      </c>
      <c r="F35">
        <v>1083.94</v>
      </c>
      <c r="G35" s="6">
        <v>32.5182</v>
      </c>
      <c r="H35" s="6">
        <v>333.36</v>
      </c>
      <c r="I35" s="6">
        <v>102.26</v>
      </c>
      <c r="J35" s="6">
        <f t="shared" si="6"/>
        <v>1449.8182000000002</v>
      </c>
      <c r="K35" s="6">
        <v>1125.0589232000002</v>
      </c>
      <c r="L35" s="6">
        <f t="shared" si="7"/>
        <v>1227.3189232000002</v>
      </c>
      <c r="M35" s="6">
        <f t="shared" si="4"/>
        <v>14727.827078400001</v>
      </c>
      <c r="N35" s="6">
        <f t="shared" si="5"/>
        <v>1836.5325308400002</v>
      </c>
      <c r="O35" s="6">
        <f t="shared" si="8"/>
        <v>22038.39037008</v>
      </c>
      <c r="R35" s="6"/>
      <c r="S35" s="2"/>
    </row>
    <row r="36" spans="1:25" x14ac:dyDescent="0.35">
      <c r="A36" s="4">
        <v>756</v>
      </c>
      <c r="B36" s="2">
        <v>46023</v>
      </c>
      <c r="D36" t="e">
        <f>VLOOKUP(C36,'Master Data'!$B$2:$G$155,6,0)</f>
        <v>#N/A</v>
      </c>
      <c r="E36" t="s">
        <v>28</v>
      </c>
      <c r="F36">
        <v>640</v>
      </c>
      <c r="G36" s="6">
        <v>0</v>
      </c>
      <c r="H36" s="6">
        <v>85.53</v>
      </c>
      <c r="I36" s="6">
        <v>102.26</v>
      </c>
      <c r="J36" s="6">
        <f t="shared" si="6"/>
        <v>725.53</v>
      </c>
      <c r="K36" s="6">
        <v>563.01127999999994</v>
      </c>
      <c r="L36" s="6">
        <f t="shared" si="7"/>
        <v>665.27127999999993</v>
      </c>
      <c r="M36" s="6">
        <f t="shared" si="4"/>
        <v>7983.2553599999992</v>
      </c>
      <c r="N36" s="6">
        <f t="shared" si="5"/>
        <v>970.13898599999993</v>
      </c>
      <c r="O36" s="6">
        <f t="shared" si="8"/>
        <v>11641.667831999999</v>
      </c>
      <c r="R36" s="6"/>
      <c r="S36" s="2"/>
      <c r="V36" s="10" t="s">
        <v>128</v>
      </c>
      <c r="W36" t="s">
        <v>126</v>
      </c>
    </row>
    <row r="37" spans="1:25" x14ac:dyDescent="0.35">
      <c r="A37" s="4">
        <v>404</v>
      </c>
      <c r="B37" s="2">
        <v>46023</v>
      </c>
      <c r="D37" t="e">
        <f>VLOOKUP(C37,'Master Data'!$B$2:$G$155,6,0)</f>
        <v>#N/A</v>
      </c>
      <c r="E37" t="s">
        <v>28</v>
      </c>
      <c r="F37">
        <v>639.12</v>
      </c>
      <c r="G37" s="6">
        <v>30.677759999999999</v>
      </c>
      <c r="H37" s="6">
        <v>88.25</v>
      </c>
      <c r="I37" s="6">
        <v>102.26</v>
      </c>
      <c r="J37" s="6">
        <f t="shared" si="6"/>
        <v>758.04776000000004</v>
      </c>
      <c r="K37" s="6">
        <v>588.24506176</v>
      </c>
      <c r="L37" s="6">
        <f t="shared" si="7"/>
        <v>690.50506175999999</v>
      </c>
      <c r="M37" s="6">
        <f t="shared" si="4"/>
        <v>8286.0607411199999</v>
      </c>
      <c r="N37" s="6">
        <f t="shared" si="5"/>
        <v>1009.0367305120001</v>
      </c>
      <c r="O37" s="6">
        <f t="shared" si="8"/>
        <v>12108.440766144002</v>
      </c>
      <c r="R37" s="6"/>
      <c r="S37" s="2"/>
      <c r="V37" s="10" t="s">
        <v>129</v>
      </c>
      <c r="W37" t="s">
        <v>127</v>
      </c>
    </row>
    <row r="38" spans="1:25" x14ac:dyDescent="0.35">
      <c r="A38" s="4">
        <v>277</v>
      </c>
      <c r="B38" s="2">
        <v>46023</v>
      </c>
      <c r="D38" t="e">
        <f>VLOOKUP(C38,'Master Data'!$B$2:$G$155,6,0)</f>
        <v>#N/A</v>
      </c>
      <c r="E38" t="s">
        <v>27</v>
      </c>
      <c r="F38">
        <v>664.68</v>
      </c>
      <c r="G38" s="6">
        <v>43.86887999999999</v>
      </c>
      <c r="H38" s="6">
        <v>887.6</v>
      </c>
      <c r="I38" s="6">
        <v>102.26</v>
      </c>
      <c r="J38" s="6">
        <f t="shared" si="6"/>
        <v>1596.14888</v>
      </c>
      <c r="K38" s="6">
        <v>1238.6115308799999</v>
      </c>
      <c r="L38" s="6">
        <f t="shared" si="7"/>
        <v>1340.8715308799999</v>
      </c>
      <c r="M38" s="6">
        <f t="shared" si="4"/>
        <v>16090.458370559998</v>
      </c>
      <c r="N38" s="6">
        <f t="shared" si="5"/>
        <v>2011.5732902559998</v>
      </c>
      <c r="O38" s="6">
        <f t="shared" si="8"/>
        <v>24138.879483072</v>
      </c>
      <c r="R38" s="6"/>
      <c r="S38" s="2"/>
      <c r="V38" s="10" t="s">
        <v>130</v>
      </c>
      <c r="W38" t="s">
        <v>127</v>
      </c>
    </row>
    <row r="39" spans="1:25" x14ac:dyDescent="0.35">
      <c r="A39" s="4">
        <v>644</v>
      </c>
      <c r="B39" s="2">
        <v>46023</v>
      </c>
      <c r="D39" t="e">
        <f>VLOOKUP(C39,'Master Data'!$B$2:$G$155,6,0)</f>
        <v>#N/A</v>
      </c>
      <c r="E39" t="s">
        <v>37</v>
      </c>
      <c r="F39">
        <v>971.46</v>
      </c>
      <c r="G39" s="6">
        <v>69.945120000000003</v>
      </c>
      <c r="H39" s="6">
        <v>0</v>
      </c>
      <c r="I39" s="6">
        <v>102.26</v>
      </c>
      <c r="J39" s="6">
        <f t="shared" si="6"/>
        <v>1041.4051200000001</v>
      </c>
      <c r="K39" s="6">
        <v>808.13037312000017</v>
      </c>
      <c r="L39" s="6">
        <f t="shared" si="7"/>
        <v>910.39037312000016</v>
      </c>
      <c r="M39" s="6">
        <f t="shared" si="4"/>
        <v>10924.684477440002</v>
      </c>
      <c r="N39" s="6">
        <f t="shared" si="5"/>
        <v>1347.9888045440002</v>
      </c>
      <c r="O39" s="6">
        <f t="shared" si="8"/>
        <v>16175.865654528003</v>
      </c>
      <c r="R39" s="6"/>
      <c r="S39" s="2"/>
      <c r="V39" s="10" t="s">
        <v>8</v>
      </c>
      <c r="W39" t="s">
        <v>127</v>
      </c>
    </row>
    <row r="40" spans="1:25" x14ac:dyDescent="0.35">
      <c r="A40" s="4">
        <v>472</v>
      </c>
      <c r="B40" s="2">
        <v>46023</v>
      </c>
      <c r="D40" t="e">
        <f>VLOOKUP(C40,'Master Data'!$B$2:$G$155,6,0)</f>
        <v>#N/A</v>
      </c>
      <c r="E40" t="s">
        <v>32</v>
      </c>
      <c r="F40">
        <v>715.81</v>
      </c>
      <c r="G40" s="6">
        <v>42.948599999999999</v>
      </c>
      <c r="H40" s="6">
        <v>414.15</v>
      </c>
      <c r="I40" s="6">
        <v>102.26</v>
      </c>
      <c r="J40" s="6">
        <f t="shared" si="6"/>
        <v>1172.9085999999998</v>
      </c>
      <c r="K40" s="6">
        <v>910.17707359999986</v>
      </c>
      <c r="L40" s="6">
        <f t="shared" si="7"/>
        <v>1012.4370735999998</v>
      </c>
      <c r="M40" s="6">
        <f t="shared" si="4"/>
        <v>12149.244883199997</v>
      </c>
      <c r="N40" s="6">
        <f t="shared" si="5"/>
        <v>1505.2932673199998</v>
      </c>
      <c r="O40" s="6">
        <f t="shared" si="8"/>
        <v>18063.51920784</v>
      </c>
      <c r="R40" s="6"/>
      <c r="S40" s="2"/>
    </row>
    <row r="41" spans="1:25" x14ac:dyDescent="0.35">
      <c r="A41" s="4">
        <v>542</v>
      </c>
      <c r="B41" s="2">
        <v>46023</v>
      </c>
      <c r="D41" t="e">
        <f>VLOOKUP(C41,'Master Data'!$B$2:$G$155,6,0)</f>
        <v>#N/A</v>
      </c>
      <c r="E41" t="s">
        <v>29</v>
      </c>
      <c r="F41">
        <v>790.97</v>
      </c>
      <c r="G41" s="6">
        <v>23.729099999999999</v>
      </c>
      <c r="H41" s="6">
        <v>381.42</v>
      </c>
      <c r="I41" s="6">
        <v>102.26</v>
      </c>
      <c r="J41" s="6">
        <f t="shared" si="6"/>
        <v>1196.1191000000001</v>
      </c>
      <c r="K41" s="6">
        <v>928.18842160000008</v>
      </c>
      <c r="L41" s="6">
        <f t="shared" si="7"/>
        <v>1030.4484216000001</v>
      </c>
      <c r="M41" s="6">
        <f t="shared" si="4"/>
        <v>12365.381059200001</v>
      </c>
      <c r="N41" s="6">
        <f t="shared" si="5"/>
        <v>1533.0576674200001</v>
      </c>
      <c r="O41" s="6">
        <f t="shared" si="8"/>
        <v>18396.692009040002</v>
      </c>
      <c r="R41" s="6"/>
      <c r="S41" s="2"/>
      <c r="V41" s="10" t="s">
        <v>123</v>
      </c>
      <c r="W41" t="s">
        <v>133</v>
      </c>
      <c r="X41" t="s">
        <v>134</v>
      </c>
      <c r="Y41" t="s">
        <v>140</v>
      </c>
    </row>
    <row r="42" spans="1:25" x14ac:dyDescent="0.35">
      <c r="A42" s="4">
        <v>494</v>
      </c>
      <c r="B42" s="2">
        <v>46023</v>
      </c>
      <c r="D42" t="e">
        <f>VLOOKUP(C42,'Master Data'!$B$2:$G$155,6,0)</f>
        <v>#N/A</v>
      </c>
      <c r="E42" t="s">
        <v>37</v>
      </c>
      <c r="F42">
        <v>792.51</v>
      </c>
      <c r="G42" s="6">
        <v>42.795540000000003</v>
      </c>
      <c r="H42" s="6">
        <v>499.53</v>
      </c>
      <c r="I42" s="6">
        <v>102.26</v>
      </c>
      <c r="J42" s="6">
        <f t="shared" si="6"/>
        <v>1334.83554</v>
      </c>
      <c r="K42" s="6">
        <v>1035.83237904</v>
      </c>
      <c r="L42" s="6">
        <f t="shared" si="7"/>
        <v>1138.09237904</v>
      </c>
      <c r="M42" s="6">
        <f t="shared" si="4"/>
        <v>13657.108548479999</v>
      </c>
      <c r="N42" s="6">
        <f t="shared" si="5"/>
        <v>1698.990272948</v>
      </c>
      <c r="O42" s="6">
        <f t="shared" si="8"/>
        <v>20387.883275376</v>
      </c>
      <c r="R42" s="6"/>
      <c r="S42" s="2"/>
      <c r="V42" s="3">
        <v>1000</v>
      </c>
      <c r="W42" s="6">
        <v>9651.4079865120002</v>
      </c>
      <c r="X42" s="6">
        <v>115816.895838144</v>
      </c>
      <c r="Y42" s="6">
        <v>79598.373849600015</v>
      </c>
    </row>
    <row r="43" spans="1:25" x14ac:dyDescent="0.35">
      <c r="A43" s="4">
        <v>677</v>
      </c>
      <c r="B43" s="2">
        <v>46023</v>
      </c>
      <c r="D43" t="e">
        <f>VLOOKUP(C43,'Master Data'!$B$2:$G$155,6,0)</f>
        <v>#N/A</v>
      </c>
      <c r="E43" t="s">
        <v>38</v>
      </c>
      <c r="F43">
        <v>639.12</v>
      </c>
      <c r="G43" s="6">
        <v>80.529120000000006</v>
      </c>
      <c r="H43" s="6">
        <v>280.19</v>
      </c>
      <c r="I43" s="6">
        <v>102.26</v>
      </c>
      <c r="J43" s="6">
        <f t="shared" si="6"/>
        <v>999.83912000000009</v>
      </c>
      <c r="K43" s="6">
        <v>775.87515712000004</v>
      </c>
      <c r="L43" s="6">
        <f t="shared" si="7"/>
        <v>878.13515712000003</v>
      </c>
      <c r="M43" s="6">
        <f t="shared" si="4"/>
        <v>10537.621885439999</v>
      </c>
      <c r="N43" s="6">
        <f t="shared" si="5"/>
        <v>1298.2675553440001</v>
      </c>
      <c r="O43" s="6">
        <f t="shared" si="8"/>
        <v>15579.210664128001</v>
      </c>
      <c r="R43" s="6"/>
      <c r="S43" s="2"/>
      <c r="V43" s="3">
        <v>1100</v>
      </c>
      <c r="W43" s="6">
        <v>3099.4300550920002</v>
      </c>
      <c r="X43" s="6">
        <v>37193.160661104004</v>
      </c>
      <c r="Y43" s="6">
        <v>24990.105601920004</v>
      </c>
    </row>
    <row r="44" spans="1:25" x14ac:dyDescent="0.35">
      <c r="A44" s="4">
        <v>665</v>
      </c>
      <c r="B44" s="2">
        <v>46023</v>
      </c>
      <c r="D44" t="e">
        <f>VLOOKUP(C44,'Master Data'!$B$2:$G$155,6,0)</f>
        <v>#N/A</v>
      </c>
      <c r="E44" t="s">
        <v>28</v>
      </c>
      <c r="F44">
        <v>1027.7</v>
      </c>
      <c r="G44" s="6">
        <v>12.3324</v>
      </c>
      <c r="H44" s="6">
        <v>332.34</v>
      </c>
      <c r="I44" s="6">
        <v>102.26</v>
      </c>
      <c r="J44" s="6">
        <f t="shared" si="6"/>
        <v>1372.3724</v>
      </c>
      <c r="K44" s="6">
        <v>1064.9609823999999</v>
      </c>
      <c r="L44" s="6">
        <f t="shared" si="7"/>
        <v>1167.2209823999999</v>
      </c>
      <c r="M44" s="6">
        <f t="shared" si="4"/>
        <v>14006.651788799998</v>
      </c>
      <c r="N44" s="6">
        <f t="shared" si="5"/>
        <v>1743.89186488</v>
      </c>
      <c r="O44" s="6">
        <f t="shared" si="8"/>
        <v>20926.702378559999</v>
      </c>
      <c r="R44" s="6"/>
      <c r="S44" s="2"/>
      <c r="V44" s="3">
        <v>1200</v>
      </c>
      <c r="W44" s="6">
        <v>18238.479227712</v>
      </c>
      <c r="X44" s="6">
        <v>218861.75073254399</v>
      </c>
      <c r="Y44" s="6">
        <v>146971.58349312001</v>
      </c>
    </row>
    <row r="45" spans="1:25" x14ac:dyDescent="0.35">
      <c r="A45" s="4">
        <v>704</v>
      </c>
      <c r="B45" s="2">
        <v>46023</v>
      </c>
      <c r="D45" t="e">
        <f>VLOOKUP(C45,'Master Data'!$B$2:$G$155,6,0)</f>
        <v>#N/A</v>
      </c>
      <c r="E45" t="s">
        <v>29</v>
      </c>
      <c r="F45">
        <v>792.51</v>
      </c>
      <c r="G45" s="6">
        <v>4.7550599999999994</v>
      </c>
      <c r="H45" s="6">
        <v>393.18</v>
      </c>
      <c r="I45" s="6">
        <v>102.26</v>
      </c>
      <c r="J45" s="6">
        <f t="shared" si="6"/>
        <v>1190.44506</v>
      </c>
      <c r="K45" s="6">
        <v>923.78536656000006</v>
      </c>
      <c r="L45" s="6">
        <f t="shared" si="7"/>
        <v>1026.04536656</v>
      </c>
      <c r="M45" s="6">
        <f t="shared" si="4"/>
        <v>12312.544398720001</v>
      </c>
      <c r="N45" s="6">
        <f t="shared" si="5"/>
        <v>1526.270380772</v>
      </c>
      <c r="O45" s="6">
        <f t="shared" si="8"/>
        <v>18315.244569263999</v>
      </c>
      <c r="R45" s="6"/>
      <c r="S45" s="2"/>
      <c r="V45" s="3">
        <v>1300</v>
      </c>
      <c r="W45" s="6">
        <v>30821.385022188002</v>
      </c>
      <c r="X45" s="6">
        <v>369856.62026625592</v>
      </c>
      <c r="Y45" s="6">
        <v>251728.88801088009</v>
      </c>
    </row>
    <row r="46" spans="1:25" x14ac:dyDescent="0.35">
      <c r="A46" s="4">
        <v>703</v>
      </c>
      <c r="B46" s="2">
        <v>46023</v>
      </c>
      <c r="D46" t="e">
        <f>VLOOKUP(C46,'Master Data'!$B$2:$G$155,6,0)</f>
        <v>#N/A</v>
      </c>
      <c r="E46" t="s">
        <v>39</v>
      </c>
      <c r="F46">
        <v>2326.38</v>
      </c>
      <c r="G46" s="6">
        <v>251.24904000000004</v>
      </c>
      <c r="H46" s="6">
        <v>570.09</v>
      </c>
      <c r="I46" s="6">
        <v>102.26</v>
      </c>
      <c r="J46" s="6">
        <f t="shared" si="6"/>
        <v>3147.7190400000004</v>
      </c>
      <c r="K46" s="6">
        <v>2571.06</v>
      </c>
      <c r="L46" s="6">
        <f t="shared" si="7"/>
        <v>2673.32</v>
      </c>
      <c r="M46" s="6">
        <f t="shared" si="4"/>
        <v>32079.840000000004</v>
      </c>
      <c r="N46" s="6">
        <f t="shared" si="5"/>
        <v>3867.5615156480007</v>
      </c>
      <c r="O46" s="6">
        <f t="shared" si="8"/>
        <v>46410.738187776005</v>
      </c>
      <c r="R46" s="6"/>
      <c r="S46" s="2"/>
      <c r="V46" s="3">
        <v>1400</v>
      </c>
      <c r="W46" s="6">
        <v>9380.3609927200014</v>
      </c>
      <c r="X46" s="6">
        <v>112564.33191264002</v>
      </c>
      <c r="Y46" s="6">
        <v>75609.209587200006</v>
      </c>
    </row>
    <row r="47" spans="1:25" x14ac:dyDescent="0.35">
      <c r="A47" s="4">
        <v>650</v>
      </c>
      <c r="B47" s="2">
        <v>46023</v>
      </c>
      <c r="D47" t="e">
        <f>VLOOKUP(C47,'Master Data'!$B$2:$G$155,6,0)</f>
        <v>#N/A</v>
      </c>
      <c r="E47" t="s">
        <v>27</v>
      </c>
      <c r="F47">
        <v>674.91</v>
      </c>
      <c r="G47" s="6">
        <v>12.14838</v>
      </c>
      <c r="H47" s="6">
        <v>609.95000000000005</v>
      </c>
      <c r="I47" s="6">
        <v>102.26</v>
      </c>
      <c r="J47" s="6">
        <f t="shared" si="6"/>
        <v>1297.00838</v>
      </c>
      <c r="K47" s="6">
        <v>1006.4785028800001</v>
      </c>
      <c r="L47" s="6">
        <f t="shared" si="7"/>
        <v>1108.7385028800002</v>
      </c>
      <c r="M47" s="6">
        <f t="shared" si="4"/>
        <v>13304.862034560003</v>
      </c>
      <c r="N47" s="6">
        <f t="shared" si="5"/>
        <v>1653.741424156</v>
      </c>
      <c r="O47" s="6">
        <f t="shared" si="8"/>
        <v>19844.897089872</v>
      </c>
      <c r="R47" s="6"/>
      <c r="S47" s="2"/>
      <c r="V47" s="3">
        <v>1600</v>
      </c>
      <c r="W47" s="6">
        <v>46912.260992068004</v>
      </c>
      <c r="X47" s="6">
        <v>562947.13190481591</v>
      </c>
      <c r="Y47" s="6">
        <v>383731.24459968007</v>
      </c>
    </row>
    <row r="48" spans="1:25" x14ac:dyDescent="0.35">
      <c r="A48" s="4">
        <v>46</v>
      </c>
      <c r="B48" s="2">
        <v>46023</v>
      </c>
      <c r="D48" t="e">
        <f>VLOOKUP(C48,'Master Data'!$B$2:$G$155,6,0)</f>
        <v>#N/A</v>
      </c>
      <c r="E48" t="s">
        <v>34</v>
      </c>
      <c r="F48">
        <v>641.16999999999996</v>
      </c>
      <c r="G48" s="6">
        <v>107.71655999999999</v>
      </c>
      <c r="H48" s="6">
        <v>567.02</v>
      </c>
      <c r="I48" s="6">
        <v>102.26</v>
      </c>
      <c r="J48" s="6">
        <f t="shared" si="6"/>
        <v>1315.9065599999999</v>
      </c>
      <c r="K48" s="6">
        <v>1021.1434905599999</v>
      </c>
      <c r="L48" s="6">
        <f t="shared" si="7"/>
        <v>1123.4034905599999</v>
      </c>
      <c r="M48" s="6">
        <f t="shared" si="4"/>
        <v>13480.841886719998</v>
      </c>
      <c r="N48" s="6">
        <f t="shared" si="5"/>
        <v>1676.3474270719998</v>
      </c>
      <c r="O48" s="6">
        <f t="shared" si="8"/>
        <v>20116.169124863998</v>
      </c>
      <c r="R48" s="6"/>
      <c r="S48" s="2"/>
      <c r="V48" s="3">
        <v>1680</v>
      </c>
      <c r="W48" s="6">
        <v>1743.89186488</v>
      </c>
      <c r="X48" s="6">
        <v>20926.702378559999</v>
      </c>
      <c r="Y48" s="6">
        <v>14006.651788799998</v>
      </c>
    </row>
    <row r="49" spans="1:25" x14ac:dyDescent="0.35">
      <c r="A49" s="4">
        <v>327</v>
      </c>
      <c r="B49" s="2">
        <v>46023</v>
      </c>
      <c r="D49" t="e">
        <f>VLOOKUP(C49,'Master Data'!$B$2:$G$155,6,0)</f>
        <v>#N/A</v>
      </c>
      <c r="E49" t="s">
        <v>32</v>
      </c>
      <c r="F49">
        <v>715.81</v>
      </c>
      <c r="G49" s="6">
        <v>42.948599999999999</v>
      </c>
      <c r="H49" s="6">
        <v>1048.1500000000001</v>
      </c>
      <c r="I49" s="6">
        <v>102.26</v>
      </c>
      <c r="J49" s="6">
        <f t="shared" si="6"/>
        <v>1806.9086</v>
      </c>
      <c r="K49" s="6">
        <v>1402.1610736</v>
      </c>
      <c r="L49" s="6">
        <f t="shared" si="7"/>
        <v>1504.4210736</v>
      </c>
      <c r="M49" s="6">
        <f t="shared" si="4"/>
        <v>18053.052883199998</v>
      </c>
      <c r="N49" s="6">
        <f t="shared" si="5"/>
        <v>2263.6840673199999</v>
      </c>
      <c r="O49" s="6">
        <f t="shared" si="8"/>
        <v>27164.208807839997</v>
      </c>
      <c r="R49" s="6"/>
      <c r="S49" s="2"/>
      <c r="V49" s="3">
        <v>1800</v>
      </c>
      <c r="W49" s="6">
        <v>9134.70209178</v>
      </c>
      <c r="X49" s="6">
        <v>109616.42510136</v>
      </c>
      <c r="Y49" s="6">
        <v>73345.946849280008</v>
      </c>
    </row>
    <row r="50" spans="1:25" x14ac:dyDescent="0.35">
      <c r="A50" s="4">
        <v>742</v>
      </c>
      <c r="B50" s="2">
        <v>46023</v>
      </c>
      <c r="D50" t="e">
        <f>VLOOKUP(C50,'Master Data'!$B$2:$G$155,6,0)</f>
        <v>#N/A</v>
      </c>
      <c r="E50" t="s">
        <v>40</v>
      </c>
      <c r="F50">
        <v>1175.98</v>
      </c>
      <c r="G50" s="6">
        <v>35.279400000000003</v>
      </c>
      <c r="H50" s="6">
        <v>370.18</v>
      </c>
      <c r="I50" s="6">
        <v>102.26</v>
      </c>
      <c r="J50" s="6">
        <f t="shared" si="6"/>
        <v>1581.4394</v>
      </c>
      <c r="K50" s="6">
        <v>1227.1969744</v>
      </c>
      <c r="L50" s="6">
        <f t="shared" si="7"/>
        <v>1329.4569744</v>
      </c>
      <c r="M50" s="6">
        <f t="shared" si="4"/>
        <v>15953.4836928</v>
      </c>
      <c r="N50" s="6">
        <f t="shared" si="5"/>
        <v>1993.9778102800001</v>
      </c>
      <c r="O50" s="6">
        <f t="shared" si="8"/>
        <v>23927.733723360001</v>
      </c>
      <c r="R50" s="6"/>
      <c r="S50" s="2"/>
      <c r="V50" s="3">
        <v>2100</v>
      </c>
      <c r="W50" s="6">
        <v>21430.414690379999</v>
      </c>
      <c r="X50" s="6">
        <v>257164.97628455996</v>
      </c>
      <c r="Y50" s="6">
        <v>171774.52518336001</v>
      </c>
    </row>
    <row r="51" spans="1:25" x14ac:dyDescent="0.35">
      <c r="A51" s="4">
        <v>737</v>
      </c>
      <c r="B51" s="2">
        <v>46023</v>
      </c>
      <c r="D51" t="e">
        <f>VLOOKUP(C51,'Master Data'!$B$2:$G$155,6,0)</f>
        <v>#N/A</v>
      </c>
      <c r="E51" t="s">
        <v>29</v>
      </c>
      <c r="F51">
        <v>155.94999999999999</v>
      </c>
      <c r="G51" s="6">
        <v>0</v>
      </c>
      <c r="H51" s="6">
        <v>0</v>
      </c>
      <c r="I51" s="6">
        <v>102.26</v>
      </c>
      <c r="J51" s="6">
        <f t="shared" si="6"/>
        <v>155.94999999999999</v>
      </c>
      <c r="K51" s="6">
        <v>140.35</v>
      </c>
      <c r="L51" s="6">
        <f t="shared" si="7"/>
        <v>242.61</v>
      </c>
      <c r="M51" s="6">
        <f t="shared" si="4"/>
        <v>2911.32</v>
      </c>
      <c r="N51" s="6">
        <f>J51+I51</f>
        <v>258.20999999999998</v>
      </c>
      <c r="O51" s="6">
        <f t="shared" si="8"/>
        <v>3098.5199999999995</v>
      </c>
      <c r="R51" s="6"/>
      <c r="S51" s="2"/>
      <c r="V51" s="3">
        <v>2220</v>
      </c>
      <c r="W51" s="6">
        <v>13229.684744720002</v>
      </c>
      <c r="X51" s="6">
        <v>158756.21693664</v>
      </c>
      <c r="Y51" s="6">
        <v>105824.13391487999</v>
      </c>
    </row>
    <row r="52" spans="1:25" x14ac:dyDescent="0.35">
      <c r="A52" s="4">
        <v>275</v>
      </c>
      <c r="B52" s="2">
        <v>46023</v>
      </c>
      <c r="D52" t="e">
        <f>VLOOKUP(C52,'Master Data'!$B$2:$G$155,6,0)</f>
        <v>#N/A</v>
      </c>
      <c r="E52" t="s">
        <v>28</v>
      </c>
      <c r="F52">
        <v>639.12</v>
      </c>
      <c r="G52" s="6">
        <v>42.181919999999998</v>
      </c>
      <c r="H52" s="6">
        <v>88.25</v>
      </c>
      <c r="I52" s="6">
        <v>102.26</v>
      </c>
      <c r="J52" s="6">
        <f t="shared" si="6"/>
        <v>769.55192</v>
      </c>
      <c r="K52" s="6">
        <v>597.17228992000003</v>
      </c>
      <c r="L52" s="6">
        <f t="shared" si="7"/>
        <v>699.43228992000002</v>
      </c>
      <c r="M52" s="6">
        <f t="shared" si="4"/>
        <v>8393.1874790399997</v>
      </c>
      <c r="N52" s="6">
        <f t="shared" ref="N52:N81" si="9">J52+(19.62%*(J52)+I52)</f>
        <v>1022.798006704</v>
      </c>
      <c r="O52" s="6">
        <f t="shared" si="8"/>
        <v>12273.576080448001</v>
      </c>
      <c r="R52" s="6"/>
      <c r="S52" s="2"/>
      <c r="V52" s="3">
        <v>2410</v>
      </c>
      <c r="W52" s="6">
        <v>4644.1086898480007</v>
      </c>
      <c r="X52" s="6">
        <v>55729.304278176001</v>
      </c>
      <c r="Y52" s="6">
        <v>37014.890292480006</v>
      </c>
    </row>
    <row r="53" spans="1:25" x14ac:dyDescent="0.35">
      <c r="A53" s="4">
        <v>393</v>
      </c>
      <c r="B53" s="2">
        <v>46023</v>
      </c>
      <c r="D53" t="e">
        <f>VLOOKUP(C53,'Master Data'!$B$2:$G$155,6,0)</f>
        <v>#N/A</v>
      </c>
      <c r="E53" t="s">
        <v>32</v>
      </c>
      <c r="F53">
        <v>915.22</v>
      </c>
      <c r="G53" s="6">
        <v>49.421880000000002</v>
      </c>
      <c r="H53" s="6">
        <v>584.91999999999996</v>
      </c>
      <c r="I53" s="6">
        <v>102.26</v>
      </c>
      <c r="J53" s="6">
        <f t="shared" si="6"/>
        <v>1549.56188</v>
      </c>
      <c r="K53" s="6">
        <v>1202.46001888</v>
      </c>
      <c r="L53" s="6">
        <f t="shared" si="7"/>
        <v>1304.72001888</v>
      </c>
      <c r="M53" s="6">
        <f t="shared" si="4"/>
        <v>15656.640226560001</v>
      </c>
      <c r="N53" s="6">
        <f t="shared" si="9"/>
        <v>1955.845920856</v>
      </c>
      <c r="O53" s="6">
        <f t="shared" si="8"/>
        <v>23470.151050272001</v>
      </c>
      <c r="R53" s="6"/>
      <c r="S53" s="2"/>
      <c r="V53" s="3">
        <v>2440</v>
      </c>
      <c r="W53" s="6">
        <v>6511.9750855439997</v>
      </c>
      <c r="X53" s="6">
        <v>78143.701026527997</v>
      </c>
      <c r="Y53" s="6">
        <v>53116.320000000007</v>
      </c>
    </row>
    <row r="54" spans="1:25" x14ac:dyDescent="0.35">
      <c r="A54" s="4">
        <v>711</v>
      </c>
      <c r="B54" s="2">
        <v>46023</v>
      </c>
      <c r="D54" t="e">
        <f>VLOOKUP(C54,'Master Data'!$B$2:$G$155,6,0)</f>
        <v>#N/A</v>
      </c>
      <c r="E54" t="s">
        <v>41</v>
      </c>
      <c r="F54">
        <v>2965.5</v>
      </c>
      <c r="G54" s="6">
        <v>177.93</v>
      </c>
      <c r="H54" s="6">
        <v>1238.3499999999999</v>
      </c>
      <c r="I54" s="6">
        <v>102.26</v>
      </c>
      <c r="J54" s="6">
        <f t="shared" si="6"/>
        <v>4381.78</v>
      </c>
      <c r="K54" s="6">
        <v>3681.71</v>
      </c>
      <c r="L54" s="6">
        <f t="shared" si="7"/>
        <v>3783.9700000000003</v>
      </c>
      <c r="M54" s="6">
        <f t="shared" si="4"/>
        <v>45407.64</v>
      </c>
      <c r="N54" s="6">
        <f t="shared" si="9"/>
        <v>5343.7452359999997</v>
      </c>
      <c r="O54" s="6">
        <f t="shared" si="8"/>
        <v>64124.942832000001</v>
      </c>
      <c r="R54" s="6"/>
      <c r="S54" s="2"/>
      <c r="V54" s="3">
        <v>3110</v>
      </c>
      <c r="W54" s="6">
        <v>4747.4369682200004</v>
      </c>
      <c r="X54" s="6">
        <v>56969.243618640008</v>
      </c>
      <c r="Y54" s="6">
        <v>38250.3264672</v>
      </c>
    </row>
    <row r="55" spans="1:25" x14ac:dyDescent="0.35">
      <c r="A55" s="4">
        <v>282</v>
      </c>
      <c r="B55" s="2">
        <v>46023</v>
      </c>
      <c r="D55" t="e">
        <f>VLOOKUP(C55,'Master Data'!$B$2:$G$155,6,0)</f>
        <v>#N/A</v>
      </c>
      <c r="E55" t="s">
        <v>29</v>
      </c>
      <c r="F55">
        <v>986.8</v>
      </c>
      <c r="G55" s="6">
        <v>65.128799999999998</v>
      </c>
      <c r="H55" s="6">
        <v>605.37</v>
      </c>
      <c r="I55" s="6">
        <v>102.26</v>
      </c>
      <c r="J55" s="6">
        <f t="shared" si="6"/>
        <v>1657.2988</v>
      </c>
      <c r="K55" s="6">
        <v>1286.0638688000001</v>
      </c>
      <c r="L55" s="6">
        <f t="shared" si="7"/>
        <v>1388.3238688000001</v>
      </c>
      <c r="M55" s="6">
        <f t="shared" si="4"/>
        <v>16659.886425600002</v>
      </c>
      <c r="N55" s="6">
        <f t="shared" si="9"/>
        <v>2084.72082456</v>
      </c>
      <c r="O55" s="6">
        <f t="shared" si="8"/>
        <v>25016.649894720002</v>
      </c>
      <c r="R55" s="6"/>
      <c r="S55" s="2"/>
      <c r="V55" s="3">
        <v>3200</v>
      </c>
      <c r="W55" s="6">
        <v>5789.9642603840002</v>
      </c>
      <c r="X55" s="6">
        <v>69479.571124608003</v>
      </c>
      <c r="Y55" s="6">
        <v>46797.099555840003</v>
      </c>
    </row>
    <row r="56" spans="1:25" x14ac:dyDescent="0.35">
      <c r="A56" s="4">
        <v>692</v>
      </c>
      <c r="B56" s="2">
        <v>46023</v>
      </c>
      <c r="D56" t="e">
        <f>VLOOKUP(C56,'Master Data'!$B$2:$G$155,6,0)</f>
        <v>#N/A</v>
      </c>
      <c r="E56" t="s">
        <v>35</v>
      </c>
      <c r="F56">
        <v>1523.65</v>
      </c>
      <c r="G56" s="6">
        <v>82.277100000000004</v>
      </c>
      <c r="H56" s="6">
        <v>423.86</v>
      </c>
      <c r="I56" s="6">
        <v>102.26</v>
      </c>
      <c r="J56" s="6">
        <f t="shared" si="6"/>
        <v>2029.7871</v>
      </c>
      <c r="K56" s="6">
        <v>1575.1147896</v>
      </c>
      <c r="L56" s="6">
        <f t="shared" si="7"/>
        <v>1677.3747896</v>
      </c>
      <c r="M56" s="6">
        <f t="shared" si="4"/>
        <v>20128.497475199998</v>
      </c>
      <c r="N56" s="6">
        <f t="shared" si="9"/>
        <v>2530.2913290199999</v>
      </c>
      <c r="O56" s="6">
        <f t="shared" si="8"/>
        <v>30363.495948240001</v>
      </c>
      <c r="R56" s="6"/>
      <c r="S56" s="2"/>
      <c r="V56" s="3">
        <v>3500</v>
      </c>
      <c r="W56" s="6">
        <v>8028.364415772</v>
      </c>
      <c r="X56" s="6">
        <v>96340.372989264011</v>
      </c>
      <c r="Y56" s="6">
        <v>64653.32599872</v>
      </c>
    </row>
    <row r="57" spans="1:25" x14ac:dyDescent="0.35">
      <c r="A57" s="4">
        <v>172</v>
      </c>
      <c r="B57" s="2">
        <v>46023</v>
      </c>
      <c r="D57" t="e">
        <f>VLOOKUP(C57,'Master Data'!$B$2:$G$155,6,0)</f>
        <v>#N/A</v>
      </c>
      <c r="E57" t="s">
        <v>42</v>
      </c>
      <c r="F57">
        <v>2096.3000000000002</v>
      </c>
      <c r="G57" s="6">
        <v>176.08920000000001</v>
      </c>
      <c r="H57" s="6">
        <v>478.57</v>
      </c>
      <c r="I57" s="6">
        <v>102.26</v>
      </c>
      <c r="J57" s="6">
        <f t="shared" si="6"/>
        <v>2750.9592000000002</v>
      </c>
      <c r="K57" s="6">
        <v>2213.9699999999998</v>
      </c>
      <c r="L57" s="6">
        <f t="shared" si="7"/>
        <v>2316.23</v>
      </c>
      <c r="M57" s="6">
        <f t="shared" si="4"/>
        <v>27794.760000000002</v>
      </c>
      <c r="N57" s="6">
        <f t="shared" si="9"/>
        <v>3392.9573950400004</v>
      </c>
      <c r="O57" s="6">
        <f t="shared" si="8"/>
        <v>40715.488740480003</v>
      </c>
      <c r="R57" s="6"/>
      <c r="S57" s="2"/>
      <c r="V57" s="3">
        <v>3900</v>
      </c>
      <c r="W57" s="6">
        <v>1447.6777201440002</v>
      </c>
      <c r="X57" s="6">
        <v>17372.132641728003</v>
      </c>
      <c r="Y57" s="6">
        <v>11700.727933440001</v>
      </c>
    </row>
    <row r="58" spans="1:25" x14ac:dyDescent="0.35">
      <c r="A58" s="4">
        <v>658</v>
      </c>
      <c r="B58" s="2">
        <v>46023</v>
      </c>
      <c r="D58" t="e">
        <f>VLOOKUP(C58,'Master Data'!$B$2:$G$155,6,0)</f>
        <v>#N/A</v>
      </c>
      <c r="E58" t="s">
        <v>43</v>
      </c>
      <c r="F58">
        <v>1227.1099999999999</v>
      </c>
      <c r="G58" s="6">
        <v>51.538620000000002</v>
      </c>
      <c r="H58" s="6">
        <v>522.54</v>
      </c>
      <c r="I58" s="6">
        <v>102.26</v>
      </c>
      <c r="J58" s="6">
        <f t="shared" si="6"/>
        <v>1801.1886199999999</v>
      </c>
      <c r="K58" s="6">
        <v>1397.7223691199999</v>
      </c>
      <c r="L58" s="6">
        <f t="shared" si="7"/>
        <v>1499.9823691199999</v>
      </c>
      <c r="M58" s="6">
        <f t="shared" si="4"/>
        <v>17999.788429439999</v>
      </c>
      <c r="N58" s="6">
        <f t="shared" si="9"/>
        <v>2256.8418272439999</v>
      </c>
      <c r="O58" s="6">
        <f t="shared" si="8"/>
        <v>27082.101926928</v>
      </c>
      <c r="R58" s="6"/>
      <c r="S58" s="2"/>
      <c r="V58" s="3">
        <v>4100</v>
      </c>
      <c r="W58" s="6">
        <v>1843.2646248200001</v>
      </c>
      <c r="X58" s="6">
        <v>22119.175497840002</v>
      </c>
      <c r="Y58" s="6">
        <v>14780.234083200001</v>
      </c>
    </row>
    <row r="59" spans="1:25" x14ac:dyDescent="0.35">
      <c r="A59" s="4">
        <v>228</v>
      </c>
      <c r="B59" s="2">
        <v>46023</v>
      </c>
      <c r="D59" t="e">
        <f>VLOOKUP(C59,'Master Data'!$B$2:$G$155,6,0)</f>
        <v>#N/A</v>
      </c>
      <c r="E59" t="s">
        <v>44</v>
      </c>
      <c r="F59">
        <v>674.91</v>
      </c>
      <c r="G59" s="6">
        <v>48.593519999999998</v>
      </c>
      <c r="H59" s="6">
        <v>453.17</v>
      </c>
      <c r="I59" s="6">
        <v>102.26</v>
      </c>
      <c r="J59" s="6">
        <f t="shared" si="6"/>
        <v>1176.6735200000001</v>
      </c>
      <c r="K59" s="6">
        <v>913.09865152000009</v>
      </c>
      <c r="L59" s="6">
        <f t="shared" si="7"/>
        <v>1015.3586515200001</v>
      </c>
      <c r="M59" s="6">
        <f t="shared" si="4"/>
        <v>12184.303818240001</v>
      </c>
      <c r="N59" s="6">
        <f t="shared" si="9"/>
        <v>1509.7968646240001</v>
      </c>
      <c r="O59" s="6">
        <f t="shared" si="8"/>
        <v>18117.562375488</v>
      </c>
      <c r="R59" s="6"/>
      <c r="S59" s="2"/>
      <c r="V59" s="3">
        <v>4300</v>
      </c>
      <c r="W59" s="6">
        <v>5294.1012773319999</v>
      </c>
      <c r="X59" s="6">
        <v>63529.215327983999</v>
      </c>
      <c r="Y59" s="6">
        <v>42505.917544319993</v>
      </c>
    </row>
    <row r="60" spans="1:25" x14ac:dyDescent="0.35">
      <c r="A60" s="4">
        <v>669</v>
      </c>
      <c r="B60" s="2">
        <v>46023</v>
      </c>
      <c r="D60" t="e">
        <f>VLOOKUP(C60,'Master Data'!$B$2:$G$155,6,0)</f>
        <v>#N/A</v>
      </c>
      <c r="E60" t="s">
        <v>29</v>
      </c>
      <c r="F60">
        <v>790.97</v>
      </c>
      <c r="G60" s="6">
        <v>9.4916400000000003</v>
      </c>
      <c r="H60" s="6">
        <v>263.83</v>
      </c>
      <c r="I60" s="6">
        <v>102.26</v>
      </c>
      <c r="J60" s="6">
        <f t="shared" si="6"/>
        <v>1064.2916399999999</v>
      </c>
      <c r="K60" s="6">
        <v>825.89031263999993</v>
      </c>
      <c r="L60" s="6">
        <f t="shared" si="7"/>
        <v>928.15031263999992</v>
      </c>
      <c r="M60" s="6">
        <f t="shared" si="4"/>
        <v>11137.80375168</v>
      </c>
      <c r="N60" s="6">
        <f t="shared" si="9"/>
        <v>1375.3656597679999</v>
      </c>
      <c r="O60" s="6">
        <f t="shared" si="8"/>
        <v>16504.387917215998</v>
      </c>
      <c r="R60" s="6"/>
      <c r="S60" s="2"/>
      <c r="V60" s="3">
        <v>4400</v>
      </c>
      <c r="W60" s="6">
        <v>3465.5028779280001</v>
      </c>
      <c r="X60" s="6">
        <v>41586.034535136001</v>
      </c>
      <c r="Y60" s="6">
        <v>27839.854913280004</v>
      </c>
    </row>
    <row r="61" spans="1:25" x14ac:dyDescent="0.35">
      <c r="A61" s="4">
        <v>633</v>
      </c>
      <c r="B61" s="2">
        <v>46023</v>
      </c>
      <c r="D61" t="e">
        <f>VLOOKUP(C61,'Master Data'!$B$2:$G$155,6,0)</f>
        <v>#N/A</v>
      </c>
      <c r="E61" t="s">
        <v>42</v>
      </c>
      <c r="F61">
        <v>2224.12</v>
      </c>
      <c r="G61" s="6">
        <v>106.75776</v>
      </c>
      <c r="H61" s="6">
        <v>1274.1400000000001</v>
      </c>
      <c r="I61" s="6">
        <v>102.26</v>
      </c>
      <c r="J61" s="6">
        <f t="shared" si="6"/>
        <v>3605.0177599999997</v>
      </c>
      <c r="K61" s="6">
        <v>2982.63</v>
      </c>
      <c r="L61" s="6">
        <f t="shared" si="7"/>
        <v>3084.8900000000003</v>
      </c>
      <c r="M61" s="6">
        <f t="shared" si="4"/>
        <v>37018.680000000008</v>
      </c>
      <c r="N61" s="6">
        <f t="shared" si="9"/>
        <v>4414.5822445119993</v>
      </c>
      <c r="O61" s="6">
        <f t="shared" si="8"/>
        <v>52974.986934143992</v>
      </c>
      <c r="R61" s="6"/>
      <c r="S61" s="2"/>
      <c r="V61" s="3">
        <v>4500</v>
      </c>
      <c r="W61" s="6">
        <v>2432.6107136000001</v>
      </c>
      <c r="X61" s="6">
        <v>29191.328563200001</v>
      </c>
      <c r="Y61" s="6">
        <v>19368.087936000004</v>
      </c>
    </row>
    <row r="62" spans="1:25" x14ac:dyDescent="0.35">
      <c r="A62" s="4">
        <v>244</v>
      </c>
      <c r="B62" s="2">
        <v>46023</v>
      </c>
      <c r="D62" t="e">
        <f>VLOOKUP(C62,'Master Data'!$B$2:$G$155,6,0)</f>
        <v>#N/A</v>
      </c>
      <c r="E62" t="s">
        <v>45</v>
      </c>
      <c r="F62">
        <v>741.38</v>
      </c>
      <c r="G62" s="6">
        <v>22.241399999999999</v>
      </c>
      <c r="H62" s="6">
        <v>245.42</v>
      </c>
      <c r="I62" s="6">
        <v>102.26</v>
      </c>
      <c r="J62" s="6">
        <f t="shared" si="6"/>
        <v>1009.0414</v>
      </c>
      <c r="K62" s="6">
        <v>783.01612639999996</v>
      </c>
      <c r="L62" s="6">
        <f t="shared" si="7"/>
        <v>885.27612639999995</v>
      </c>
      <c r="M62" s="6">
        <f t="shared" si="4"/>
        <v>10623.313516799999</v>
      </c>
      <c r="N62" s="6">
        <f t="shared" si="9"/>
        <v>1309.27532268</v>
      </c>
      <c r="O62" s="6">
        <f t="shared" si="8"/>
        <v>15711.303872160001</v>
      </c>
      <c r="R62" s="6"/>
      <c r="S62" s="2"/>
      <c r="V62" s="3">
        <v>4600</v>
      </c>
      <c r="W62" s="6">
        <v>12211.333236644001</v>
      </c>
      <c r="X62" s="6">
        <v>146535.99883972801</v>
      </c>
      <c r="Y62" s="6">
        <v>101734.56</v>
      </c>
    </row>
    <row r="63" spans="1:25" x14ac:dyDescent="0.35">
      <c r="A63" s="4">
        <v>632</v>
      </c>
      <c r="B63" s="2">
        <v>46023</v>
      </c>
      <c r="D63" t="e">
        <f>VLOOKUP(C63,'Master Data'!$B$2:$G$155,6,0)</f>
        <v>#N/A</v>
      </c>
      <c r="E63" t="s">
        <v>28</v>
      </c>
      <c r="F63">
        <v>639.12</v>
      </c>
      <c r="G63" s="6">
        <v>42.181919999999998</v>
      </c>
      <c r="H63" s="6">
        <v>57.57</v>
      </c>
      <c r="I63" s="6">
        <v>102.26</v>
      </c>
      <c r="J63" s="6">
        <f t="shared" si="6"/>
        <v>738.87192000000005</v>
      </c>
      <c r="K63" s="6">
        <v>573.36460992000002</v>
      </c>
      <c r="L63" s="6">
        <f t="shared" si="7"/>
        <v>675.62460992000001</v>
      </c>
      <c r="M63" s="6">
        <f t="shared" si="4"/>
        <v>8107.4953190400001</v>
      </c>
      <c r="N63" s="6">
        <f t="shared" si="9"/>
        <v>986.09859070400012</v>
      </c>
      <c r="O63" s="6">
        <f t="shared" si="8"/>
        <v>11833.183088448</v>
      </c>
      <c r="R63" s="6"/>
      <c r="S63" s="2"/>
      <c r="V63" s="3">
        <v>5400</v>
      </c>
      <c r="W63" s="6">
        <v>6983.7661225799993</v>
      </c>
      <c r="X63" s="6">
        <v>83805.193470959988</v>
      </c>
      <c r="Y63" s="6">
        <v>55658.828136960001</v>
      </c>
    </row>
    <row r="64" spans="1:25" x14ac:dyDescent="0.35">
      <c r="A64" s="4">
        <v>508</v>
      </c>
      <c r="B64" s="2">
        <v>46023</v>
      </c>
      <c r="D64" t="e">
        <f>VLOOKUP(C64,'Master Data'!$B$2:$G$155,6,0)</f>
        <v>#N/A</v>
      </c>
      <c r="E64" t="s">
        <v>28</v>
      </c>
      <c r="F64">
        <v>639.12</v>
      </c>
      <c r="G64" s="6">
        <v>88.198560000000001</v>
      </c>
      <c r="H64" s="6">
        <v>0</v>
      </c>
      <c r="I64" s="6">
        <v>102.26</v>
      </c>
      <c r="J64" s="6">
        <f t="shared" si="6"/>
        <v>727.31856000000005</v>
      </c>
      <c r="K64" s="6">
        <v>564.39920256000005</v>
      </c>
      <c r="L64" s="6">
        <f t="shared" si="7"/>
        <v>666.65920256000004</v>
      </c>
      <c r="M64" s="6">
        <f t="shared" si="4"/>
        <v>7999.9104307200005</v>
      </c>
      <c r="N64" s="6">
        <f t="shared" si="9"/>
        <v>972.27846147200012</v>
      </c>
      <c r="O64" s="6">
        <f t="shared" si="8"/>
        <v>11667.341537664</v>
      </c>
      <c r="R64" s="6"/>
      <c r="S64" s="2"/>
      <c r="V64" s="3">
        <v>5500</v>
      </c>
      <c r="W64" s="6">
        <v>6425.0851471279993</v>
      </c>
      <c r="X64" s="6">
        <v>77101.021765535988</v>
      </c>
      <c r="Y64" s="6">
        <v>51310.232705279996</v>
      </c>
    </row>
    <row r="65" spans="1:25" x14ac:dyDescent="0.35">
      <c r="A65" s="4">
        <v>752</v>
      </c>
      <c r="B65" s="2">
        <v>46023</v>
      </c>
      <c r="D65" t="e">
        <f>VLOOKUP(C65,'Master Data'!$B$2:$G$155,6,0)</f>
        <v>#N/A</v>
      </c>
      <c r="E65" t="s">
        <v>29</v>
      </c>
      <c r="F65">
        <v>795</v>
      </c>
      <c r="G65" s="6">
        <v>4.7699999999999996</v>
      </c>
      <c r="H65" s="6">
        <v>320.39999999999998</v>
      </c>
      <c r="I65" s="6">
        <v>102.26</v>
      </c>
      <c r="J65" s="6">
        <f t="shared" si="6"/>
        <v>1120.17</v>
      </c>
      <c r="K65" s="6">
        <v>869.25192000000004</v>
      </c>
      <c r="L65" s="6">
        <f t="shared" si="7"/>
        <v>971.51192000000003</v>
      </c>
      <c r="M65" s="6">
        <f t="shared" si="4"/>
        <v>11658.143040000001</v>
      </c>
      <c r="N65" s="6">
        <f t="shared" si="9"/>
        <v>1442.2073540000001</v>
      </c>
      <c r="O65" s="6">
        <f t="shared" si="8"/>
        <v>17306.488248000001</v>
      </c>
      <c r="R65" s="6"/>
      <c r="S65" s="2"/>
      <c r="V65" s="3">
        <v>5600</v>
      </c>
      <c r="W65" s="6">
        <v>3965.8928599119999</v>
      </c>
      <c r="X65" s="6">
        <v>47590.714318943996</v>
      </c>
      <c r="Y65" s="6">
        <v>31735.21648512</v>
      </c>
    </row>
    <row r="66" spans="1:25" x14ac:dyDescent="0.35">
      <c r="A66" s="4">
        <v>216</v>
      </c>
      <c r="B66" s="2">
        <v>46023</v>
      </c>
      <c r="D66" t="e">
        <f>VLOOKUP(C66,'Master Data'!$B$2:$G$155,6,0)</f>
        <v>#N/A</v>
      </c>
      <c r="E66" t="s">
        <v>33</v>
      </c>
      <c r="F66">
        <v>639.12</v>
      </c>
      <c r="G66" s="6">
        <v>46.016639999999995</v>
      </c>
      <c r="H66" s="6">
        <v>411.59</v>
      </c>
      <c r="I66" s="6">
        <v>102.26</v>
      </c>
      <c r="J66" s="6">
        <f t="shared" ref="J66:J97" si="10">F66+G66+H66</f>
        <v>1096.7266399999999</v>
      </c>
      <c r="K66" s="6">
        <v>851.05987263999987</v>
      </c>
      <c r="L66" s="6">
        <f t="shared" ref="L66:L97" si="11">K66+I66</f>
        <v>953.31987263999986</v>
      </c>
      <c r="M66" s="6">
        <f t="shared" si="4"/>
        <v>11439.838471679999</v>
      </c>
      <c r="N66" s="6">
        <f t="shared" si="9"/>
        <v>1414.1644067679999</v>
      </c>
      <c r="O66" s="6">
        <f t="shared" ref="O66:O97" si="12">N66*12</f>
        <v>16969.972881215999</v>
      </c>
      <c r="R66" s="6"/>
      <c r="S66" s="2"/>
      <c r="V66" s="3">
        <v>5700</v>
      </c>
      <c r="W66" s="6">
        <v>3867.5615156480007</v>
      </c>
      <c r="X66" s="6">
        <v>46410.738187776005</v>
      </c>
      <c r="Y66" s="6">
        <v>32079.840000000004</v>
      </c>
    </row>
    <row r="67" spans="1:25" x14ac:dyDescent="0.35">
      <c r="A67" s="4">
        <v>643</v>
      </c>
      <c r="B67" s="2">
        <v>46023</v>
      </c>
      <c r="D67" t="e">
        <f>VLOOKUP(C67,'Master Data'!$B$2:$G$155,6,0)</f>
        <v>#N/A</v>
      </c>
      <c r="E67" t="s">
        <v>45</v>
      </c>
      <c r="F67">
        <v>664.68</v>
      </c>
      <c r="G67" s="6">
        <v>31.904639999999993</v>
      </c>
      <c r="H67" s="6">
        <v>197</v>
      </c>
      <c r="I67" s="6">
        <v>102.26</v>
      </c>
      <c r="J67" s="6">
        <f t="shared" si="10"/>
        <v>893.58463999999992</v>
      </c>
      <c r="K67" s="6">
        <v>693.42168063999998</v>
      </c>
      <c r="L67" s="6">
        <f t="shared" si="11"/>
        <v>795.68168063999997</v>
      </c>
      <c r="M67" s="6">
        <f t="shared" ref="M67:M130" si="13">L67*12</f>
        <v>9548.1801676799987</v>
      </c>
      <c r="N67" s="6">
        <f t="shared" si="9"/>
        <v>1171.1659463679998</v>
      </c>
      <c r="O67" s="6">
        <f t="shared" si="12"/>
        <v>14053.991356415998</v>
      </c>
      <c r="R67" s="6"/>
      <c r="S67" s="2"/>
      <c r="V67" s="3">
        <v>6110</v>
      </c>
      <c r="W67" s="6">
        <v>3351.803705112</v>
      </c>
      <c r="X67" s="6">
        <v>40221.644461343996</v>
      </c>
      <c r="Y67" s="6">
        <v>27385.808037119998</v>
      </c>
    </row>
    <row r="68" spans="1:25" x14ac:dyDescent="0.35">
      <c r="A68" s="4">
        <v>754</v>
      </c>
      <c r="B68" s="2">
        <v>46023</v>
      </c>
      <c r="D68" t="e">
        <f>VLOOKUP(C68,'Master Data'!$B$2:$G$155,6,0)</f>
        <v>#N/A</v>
      </c>
      <c r="E68" t="s">
        <v>28</v>
      </c>
      <c r="F68">
        <v>640</v>
      </c>
      <c r="G68" s="6">
        <v>0</v>
      </c>
      <c r="H68" s="6">
        <v>85.53</v>
      </c>
      <c r="I68" s="6">
        <v>102.26</v>
      </c>
      <c r="J68" s="6">
        <f t="shared" si="10"/>
        <v>725.53</v>
      </c>
      <c r="K68" s="6">
        <v>563.01127999999994</v>
      </c>
      <c r="L68" s="6">
        <f t="shared" si="11"/>
        <v>665.27127999999993</v>
      </c>
      <c r="M68" s="6">
        <f t="shared" si="13"/>
        <v>7983.2553599999992</v>
      </c>
      <c r="N68" s="6">
        <f t="shared" si="9"/>
        <v>970.13898599999993</v>
      </c>
      <c r="O68" s="6">
        <f t="shared" si="12"/>
        <v>11641.667831999999</v>
      </c>
      <c r="R68" s="6"/>
      <c r="S68" s="2"/>
      <c r="V68" s="3">
        <v>6410</v>
      </c>
      <c r="W68" s="6">
        <v>3616.1466359399997</v>
      </c>
      <c r="X68" s="6">
        <v>43393.759631279994</v>
      </c>
      <c r="Y68" s="6">
        <v>29012.564054399994</v>
      </c>
    </row>
    <row r="69" spans="1:25" x14ac:dyDescent="0.35">
      <c r="A69" s="4">
        <v>490</v>
      </c>
      <c r="B69" s="2">
        <v>46023</v>
      </c>
      <c r="D69" t="e">
        <f>VLOOKUP(C69,'Master Data'!$B$2:$G$155,6,0)</f>
        <v>#N/A</v>
      </c>
      <c r="E69" t="s">
        <v>28</v>
      </c>
      <c r="F69">
        <v>639.12</v>
      </c>
      <c r="G69" s="6">
        <v>23.008319999999998</v>
      </c>
      <c r="H69" s="6">
        <v>184.5</v>
      </c>
      <c r="I69" s="6">
        <v>102.26</v>
      </c>
      <c r="J69" s="6">
        <f t="shared" si="10"/>
        <v>846.62832000000003</v>
      </c>
      <c r="K69" s="6">
        <v>656.98357632</v>
      </c>
      <c r="L69" s="6">
        <f t="shared" si="11"/>
        <v>759.24357631999999</v>
      </c>
      <c r="M69" s="6">
        <f t="shared" si="13"/>
        <v>9110.9229158399994</v>
      </c>
      <c r="N69" s="6">
        <f t="shared" si="9"/>
        <v>1114.9967963839999</v>
      </c>
      <c r="O69" s="6">
        <f t="shared" si="12"/>
        <v>13379.961556607999</v>
      </c>
      <c r="R69" s="6"/>
      <c r="S69" s="2"/>
      <c r="V69" s="3" t="s">
        <v>124</v>
      </c>
      <c r="W69" s="6">
        <v>248268.61352460802</v>
      </c>
      <c r="X69" s="6">
        <v>2979223.362295297</v>
      </c>
      <c r="Y69" s="6">
        <v>2012524.4970220802</v>
      </c>
    </row>
    <row r="70" spans="1:25" x14ac:dyDescent="0.35">
      <c r="A70" s="4">
        <v>670</v>
      </c>
      <c r="B70" s="2">
        <v>45748</v>
      </c>
      <c r="D70" t="e">
        <f>VLOOKUP(C70,'Master Data'!$B$2:$G$155,6,0)</f>
        <v>#N/A</v>
      </c>
      <c r="E70" t="s">
        <v>40</v>
      </c>
      <c r="F70">
        <v>1135.07</v>
      </c>
      <c r="G70" s="6">
        <v>108.96671999999998</v>
      </c>
      <c r="H70" s="6">
        <v>542.01</v>
      </c>
      <c r="I70" s="6">
        <v>102.26</v>
      </c>
      <c r="J70" s="6">
        <f t="shared" si="10"/>
        <v>1786.0467199999998</v>
      </c>
      <c r="K70" s="6">
        <v>1385.9722547199999</v>
      </c>
      <c r="L70" s="6">
        <f t="shared" si="11"/>
        <v>1488.2322547199999</v>
      </c>
      <c r="M70" s="6">
        <f t="shared" si="13"/>
        <v>17858.787056639998</v>
      </c>
      <c r="N70" s="6">
        <f t="shared" si="9"/>
        <v>2238.7290864639999</v>
      </c>
      <c r="O70" s="6">
        <f t="shared" si="12"/>
        <v>26864.749037567999</v>
      </c>
      <c r="R70" s="6"/>
      <c r="S70" s="2"/>
    </row>
    <row r="71" spans="1:25" x14ac:dyDescent="0.35">
      <c r="A71" s="4">
        <v>670</v>
      </c>
      <c r="B71" s="2">
        <v>46023</v>
      </c>
      <c r="D71" t="e">
        <f>VLOOKUP(C71,'Master Data'!$B$2:$G$155,6,0)</f>
        <v>#N/A</v>
      </c>
      <c r="E71" t="s">
        <v>40</v>
      </c>
      <c r="F71">
        <v>1135.07</v>
      </c>
      <c r="G71" s="6">
        <v>108.96671999999998</v>
      </c>
      <c r="H71" s="6">
        <v>806.15</v>
      </c>
      <c r="I71" s="6">
        <v>102.26</v>
      </c>
      <c r="J71" s="6">
        <f t="shared" si="10"/>
        <v>2050.1867199999997</v>
      </c>
      <c r="K71" s="6">
        <v>1590.9448947199999</v>
      </c>
      <c r="L71" s="6">
        <f t="shared" si="11"/>
        <v>1693.2048947199999</v>
      </c>
      <c r="M71" s="6">
        <f t="shared" si="13"/>
        <v>20318.458736639997</v>
      </c>
      <c r="N71" s="6">
        <f t="shared" si="9"/>
        <v>2554.6933544639996</v>
      </c>
      <c r="O71" s="6">
        <f t="shared" si="12"/>
        <v>30656.320253567996</v>
      </c>
      <c r="P71" s="8">
        <f>(J71-J70)/J70</f>
        <v>0.147890868162732</v>
      </c>
      <c r="Q71" t="s">
        <v>120</v>
      </c>
      <c r="R71" s="6" t="s">
        <v>122</v>
      </c>
      <c r="S71" s="2">
        <v>46010</v>
      </c>
      <c r="T71" t="s">
        <v>121</v>
      </c>
    </row>
    <row r="72" spans="1:25" x14ac:dyDescent="0.35">
      <c r="A72" s="4">
        <v>133</v>
      </c>
      <c r="B72" s="2">
        <v>46023</v>
      </c>
      <c r="D72" t="e">
        <f>VLOOKUP(C72,'Master Data'!$B$2:$G$155,6,0)</f>
        <v>#N/A</v>
      </c>
      <c r="E72" t="s">
        <v>32</v>
      </c>
      <c r="F72">
        <v>915.22</v>
      </c>
      <c r="G72" s="6">
        <v>131.79168000000001</v>
      </c>
      <c r="H72" s="6">
        <v>548.62</v>
      </c>
      <c r="I72" s="6">
        <v>102.26</v>
      </c>
      <c r="J72" s="6">
        <f t="shared" si="10"/>
        <v>1595.63168</v>
      </c>
      <c r="K72" s="6">
        <v>1238.21018368</v>
      </c>
      <c r="L72" s="6">
        <f t="shared" si="11"/>
        <v>1340.47018368</v>
      </c>
      <c r="M72" s="6">
        <f t="shared" si="13"/>
        <v>16085.64220416</v>
      </c>
      <c r="N72" s="6">
        <f t="shared" si="9"/>
        <v>2010.954615616</v>
      </c>
      <c r="O72" s="6">
        <f t="shared" si="12"/>
        <v>24131.455387392001</v>
      </c>
      <c r="R72" s="6"/>
      <c r="S72" s="2"/>
    </row>
    <row r="73" spans="1:25" x14ac:dyDescent="0.35">
      <c r="A73" s="4">
        <v>396</v>
      </c>
      <c r="B73" s="2">
        <v>46023</v>
      </c>
      <c r="D73" t="e">
        <f>VLOOKUP(C73,'Master Data'!$B$2:$G$155,6,0)</f>
        <v>#N/A</v>
      </c>
      <c r="E73" t="s">
        <v>32</v>
      </c>
      <c r="F73">
        <v>715.81</v>
      </c>
      <c r="G73" s="6">
        <v>60.128039999999999</v>
      </c>
      <c r="H73" s="6">
        <v>409.03</v>
      </c>
      <c r="I73" s="6">
        <v>102.26</v>
      </c>
      <c r="J73" s="6">
        <f t="shared" si="10"/>
        <v>1184.96804</v>
      </c>
      <c r="K73" s="6">
        <v>919.53519903999995</v>
      </c>
      <c r="L73" s="6">
        <f t="shared" si="11"/>
        <v>1021.7951990399999</v>
      </c>
      <c r="M73" s="6">
        <f t="shared" si="13"/>
        <v>12261.54238848</v>
      </c>
      <c r="N73" s="6">
        <f t="shared" si="9"/>
        <v>1519.7187694479999</v>
      </c>
      <c r="O73" s="6">
        <f t="shared" si="12"/>
        <v>18236.625233375999</v>
      </c>
      <c r="R73" s="6"/>
      <c r="S73" s="2"/>
    </row>
    <row r="74" spans="1:25" x14ac:dyDescent="0.35">
      <c r="A74" s="4">
        <v>537</v>
      </c>
      <c r="B74" s="2">
        <v>46023</v>
      </c>
      <c r="D74" t="e">
        <f>VLOOKUP(C74,'Master Data'!$B$2:$G$155,6,0)</f>
        <v>#N/A</v>
      </c>
      <c r="E74" t="s">
        <v>27</v>
      </c>
      <c r="F74">
        <v>664.68</v>
      </c>
      <c r="G74" s="6">
        <v>23.92848</v>
      </c>
      <c r="H74" s="6">
        <v>839.03</v>
      </c>
      <c r="I74" s="6">
        <v>102.26</v>
      </c>
      <c r="J74" s="6">
        <f t="shared" si="10"/>
        <v>1527.6384800000001</v>
      </c>
      <c r="K74" s="6">
        <v>1185.44746048</v>
      </c>
      <c r="L74" s="6">
        <f t="shared" si="11"/>
        <v>1287.70746048</v>
      </c>
      <c r="M74" s="6">
        <f t="shared" si="13"/>
        <v>15452.48952576</v>
      </c>
      <c r="N74" s="6">
        <f t="shared" si="9"/>
        <v>1929.621149776</v>
      </c>
      <c r="O74" s="6">
        <f t="shared" si="12"/>
        <v>23155.453797312002</v>
      </c>
      <c r="R74" s="6"/>
      <c r="S74" s="2"/>
    </row>
    <row r="75" spans="1:25" x14ac:dyDescent="0.35">
      <c r="A75" s="4">
        <v>506</v>
      </c>
      <c r="B75" s="2">
        <v>46023</v>
      </c>
      <c r="D75" t="e">
        <f>VLOOKUP(C75,'Master Data'!$B$2:$G$155,6,0)</f>
        <v>#N/A</v>
      </c>
      <c r="E75" t="s">
        <v>26</v>
      </c>
      <c r="F75">
        <v>838.52</v>
      </c>
      <c r="G75" s="6">
        <v>45.280079999999998</v>
      </c>
      <c r="H75" s="6">
        <v>195.73</v>
      </c>
      <c r="I75" s="6">
        <v>102.26</v>
      </c>
      <c r="J75" s="6">
        <f t="shared" si="10"/>
        <v>1079.53008</v>
      </c>
      <c r="K75" s="6">
        <v>837.71534208000003</v>
      </c>
      <c r="L75" s="6">
        <f t="shared" si="11"/>
        <v>939.97534208000002</v>
      </c>
      <c r="M75" s="6">
        <f t="shared" si="13"/>
        <v>11279.704104960001</v>
      </c>
      <c r="N75" s="6">
        <f t="shared" si="9"/>
        <v>1393.5938816960002</v>
      </c>
      <c r="O75" s="6">
        <f t="shared" si="12"/>
        <v>16723.126580352</v>
      </c>
      <c r="R75" s="6"/>
      <c r="S75" s="2"/>
    </row>
    <row r="76" spans="1:25" x14ac:dyDescent="0.35">
      <c r="A76" s="4">
        <v>587</v>
      </c>
      <c r="B76" s="2">
        <v>46023</v>
      </c>
      <c r="D76" t="e">
        <f>VLOOKUP(C76,'Master Data'!$B$2:$G$155,6,0)</f>
        <v>#N/A</v>
      </c>
      <c r="E76" t="s">
        <v>28</v>
      </c>
      <c r="F76">
        <v>639.12</v>
      </c>
      <c r="G76" s="6">
        <v>15.33888</v>
      </c>
      <c r="H76" s="6">
        <v>184.5</v>
      </c>
      <c r="I76" s="6">
        <v>102.26</v>
      </c>
      <c r="J76" s="6">
        <f t="shared" si="10"/>
        <v>838.95888000000002</v>
      </c>
      <c r="K76" s="6">
        <v>651.03209088000006</v>
      </c>
      <c r="L76" s="6">
        <f t="shared" si="11"/>
        <v>753.29209088000005</v>
      </c>
      <c r="M76" s="6">
        <f t="shared" si="13"/>
        <v>9039.5050905600001</v>
      </c>
      <c r="N76" s="6">
        <f t="shared" si="9"/>
        <v>1105.822612256</v>
      </c>
      <c r="O76" s="6">
        <f t="shared" si="12"/>
        <v>13269.871347071999</v>
      </c>
      <c r="R76" s="6"/>
      <c r="S76" s="2"/>
    </row>
    <row r="77" spans="1:25" x14ac:dyDescent="0.35">
      <c r="A77" s="4">
        <v>688</v>
      </c>
      <c r="B77" s="2">
        <v>46023</v>
      </c>
      <c r="D77" t="e">
        <f>VLOOKUP(C77,'Master Data'!$B$2:$G$155,6,0)</f>
        <v>#N/A</v>
      </c>
      <c r="E77" t="s">
        <v>28</v>
      </c>
      <c r="F77">
        <v>641.67999999999995</v>
      </c>
      <c r="G77" s="6">
        <v>7.7001599999999994</v>
      </c>
      <c r="H77" s="6">
        <v>313.42</v>
      </c>
      <c r="I77" s="6">
        <v>102.26</v>
      </c>
      <c r="J77" s="6">
        <f t="shared" si="10"/>
        <v>962.80016000000001</v>
      </c>
      <c r="K77" s="6">
        <v>747.13292416000002</v>
      </c>
      <c r="L77" s="6">
        <f t="shared" si="11"/>
        <v>849.39292416000001</v>
      </c>
      <c r="M77" s="6">
        <f t="shared" si="13"/>
        <v>10192.715089920001</v>
      </c>
      <c r="N77" s="6">
        <f t="shared" si="9"/>
        <v>1253.961551392</v>
      </c>
      <c r="O77" s="6">
        <f t="shared" si="12"/>
        <v>15047.538616704001</v>
      </c>
      <c r="R77" s="6"/>
      <c r="S77" s="2"/>
    </row>
    <row r="78" spans="1:25" x14ac:dyDescent="0.35">
      <c r="A78" s="4">
        <v>637</v>
      </c>
      <c r="B78" s="2">
        <v>46023</v>
      </c>
      <c r="D78" t="e">
        <f>VLOOKUP(C78,'Master Data'!$B$2:$G$155,6,0)</f>
        <v>#N/A</v>
      </c>
      <c r="E78" t="s">
        <v>46</v>
      </c>
      <c r="F78">
        <v>715.81</v>
      </c>
      <c r="G78" s="6">
        <v>55.833179999999992</v>
      </c>
      <c r="H78" s="6">
        <v>0</v>
      </c>
      <c r="I78" s="6">
        <v>102.26</v>
      </c>
      <c r="J78" s="6">
        <f t="shared" si="10"/>
        <v>771.64317999999992</v>
      </c>
      <c r="K78" s="6">
        <v>598.79510768</v>
      </c>
      <c r="L78" s="6">
        <f t="shared" si="11"/>
        <v>701.05510767999999</v>
      </c>
      <c r="M78" s="6">
        <f t="shared" si="13"/>
        <v>8412.661292159999</v>
      </c>
      <c r="N78" s="6">
        <f t="shared" si="9"/>
        <v>1025.2995719159999</v>
      </c>
      <c r="O78" s="6">
        <f t="shared" si="12"/>
        <v>12303.594862991999</v>
      </c>
      <c r="R78" s="6"/>
      <c r="S78" s="2"/>
    </row>
    <row r="79" spans="1:25" x14ac:dyDescent="0.35">
      <c r="A79" s="4">
        <v>712</v>
      </c>
      <c r="B79" s="2">
        <v>46023</v>
      </c>
      <c r="D79" t="e">
        <f>VLOOKUP(C79,'Master Data'!$B$2:$G$155,6,0)</f>
        <v>#N/A</v>
      </c>
      <c r="E79" t="s">
        <v>47</v>
      </c>
      <c r="F79">
        <v>1380.49</v>
      </c>
      <c r="G79" s="6">
        <v>8.28294</v>
      </c>
      <c r="H79" s="6">
        <v>460.15</v>
      </c>
      <c r="I79" s="6">
        <v>102.26</v>
      </c>
      <c r="J79" s="6">
        <f t="shared" si="10"/>
        <v>1848.9229399999999</v>
      </c>
      <c r="K79" s="6">
        <v>1434.7642014400001</v>
      </c>
      <c r="L79" s="6">
        <f t="shared" si="11"/>
        <v>1537.0242014400001</v>
      </c>
      <c r="M79" s="6">
        <f t="shared" si="13"/>
        <v>18444.290417280001</v>
      </c>
      <c r="N79" s="6">
        <f t="shared" si="9"/>
        <v>2313.9416208279999</v>
      </c>
      <c r="O79" s="6">
        <f t="shared" si="12"/>
        <v>27767.299449935999</v>
      </c>
      <c r="R79" s="6"/>
      <c r="S79" s="2"/>
    </row>
    <row r="80" spans="1:25" x14ac:dyDescent="0.35">
      <c r="A80" s="4">
        <v>749</v>
      </c>
      <c r="B80" s="2">
        <v>46023</v>
      </c>
      <c r="D80" t="e">
        <f>VLOOKUP(C80,'Master Data'!$B$2:$G$155,6,0)</f>
        <v>#N/A</v>
      </c>
      <c r="E80" t="s">
        <v>35</v>
      </c>
      <c r="F80">
        <v>1710.01</v>
      </c>
      <c r="G80" s="6">
        <v>61.560360000000003</v>
      </c>
      <c r="H80" s="6">
        <v>508</v>
      </c>
      <c r="I80" s="6">
        <v>102.26</v>
      </c>
      <c r="J80" s="6">
        <f t="shared" si="10"/>
        <v>2279.5703599999997</v>
      </c>
      <c r="K80" s="6">
        <v>1789.72</v>
      </c>
      <c r="L80" s="6">
        <f t="shared" si="11"/>
        <v>1891.98</v>
      </c>
      <c r="M80" s="6">
        <f t="shared" si="13"/>
        <v>22703.760000000002</v>
      </c>
      <c r="N80" s="6">
        <f t="shared" si="9"/>
        <v>2829.0820646319999</v>
      </c>
      <c r="O80" s="6">
        <f t="shared" si="12"/>
        <v>33948.984775584002</v>
      </c>
      <c r="R80" s="6"/>
      <c r="S80" s="2"/>
    </row>
    <row r="81" spans="1:19" x14ac:dyDescent="0.35">
      <c r="A81" s="4">
        <v>466</v>
      </c>
      <c r="B81" s="2">
        <v>46023</v>
      </c>
      <c r="D81" t="e">
        <f>VLOOKUP(C81,'Master Data'!$B$2:$G$155,6,0)</f>
        <v>#N/A</v>
      </c>
      <c r="E81" t="s">
        <v>38</v>
      </c>
      <c r="F81">
        <v>639.12</v>
      </c>
      <c r="G81" s="6">
        <v>26.843040000000002</v>
      </c>
      <c r="H81" s="6">
        <v>233.34</v>
      </c>
      <c r="I81" s="6">
        <v>102.26</v>
      </c>
      <c r="J81" s="6">
        <f t="shared" si="10"/>
        <v>899.30304000000001</v>
      </c>
      <c r="K81" s="6">
        <v>697.85915904000001</v>
      </c>
      <c r="L81" s="6">
        <f t="shared" si="11"/>
        <v>800.11915904</v>
      </c>
      <c r="M81" s="6">
        <f t="shared" si="13"/>
        <v>9601.4299084800004</v>
      </c>
      <c r="N81" s="6">
        <f t="shared" si="9"/>
        <v>1178.0062964480001</v>
      </c>
      <c r="O81" s="6">
        <f t="shared" si="12"/>
        <v>14136.075557376</v>
      </c>
      <c r="R81" s="6"/>
      <c r="S81" s="2"/>
    </row>
    <row r="82" spans="1:19" x14ac:dyDescent="0.35">
      <c r="A82" s="4">
        <v>734</v>
      </c>
      <c r="B82" s="2">
        <v>46023</v>
      </c>
      <c r="D82" t="e">
        <f>VLOOKUP(C82,'Master Data'!$B$2:$G$155,6,0)</f>
        <v>#N/A</v>
      </c>
      <c r="E82" t="s">
        <v>29</v>
      </c>
      <c r="F82">
        <v>155.94999999999999</v>
      </c>
      <c r="G82" s="6">
        <v>0</v>
      </c>
      <c r="H82" s="6">
        <v>0</v>
      </c>
      <c r="I82" s="6">
        <v>102.26</v>
      </c>
      <c r="J82" s="6">
        <f t="shared" si="10"/>
        <v>155.94999999999999</v>
      </c>
      <c r="K82" s="6">
        <v>140.35</v>
      </c>
      <c r="L82" s="6">
        <f t="shared" si="11"/>
        <v>242.61</v>
      </c>
      <c r="M82" s="6">
        <f t="shared" si="13"/>
        <v>2911.32</v>
      </c>
      <c r="N82" s="6">
        <f>J82+I82</f>
        <v>258.20999999999998</v>
      </c>
      <c r="O82" s="6">
        <f t="shared" si="12"/>
        <v>3098.5199999999995</v>
      </c>
      <c r="R82" s="6"/>
      <c r="S82" s="2"/>
    </row>
    <row r="83" spans="1:19" x14ac:dyDescent="0.35">
      <c r="A83" s="4">
        <v>264</v>
      </c>
      <c r="B83" s="2">
        <v>46023</v>
      </c>
      <c r="D83" t="e">
        <f>VLOOKUP(C83,'Master Data'!$B$2:$G$155,6,0)</f>
        <v>#N/A</v>
      </c>
      <c r="E83" t="s">
        <v>37</v>
      </c>
      <c r="F83">
        <v>792.51</v>
      </c>
      <c r="G83" s="6">
        <v>80.836019999999991</v>
      </c>
      <c r="H83" s="6">
        <v>392.67</v>
      </c>
      <c r="I83" s="6">
        <v>102.26</v>
      </c>
      <c r="J83" s="6">
        <f t="shared" si="10"/>
        <v>1266.01602</v>
      </c>
      <c r="K83" s="6">
        <v>982.42843152</v>
      </c>
      <c r="L83" s="6">
        <f t="shared" si="11"/>
        <v>1084.68843152</v>
      </c>
      <c r="M83" s="6">
        <f t="shared" si="13"/>
        <v>13016.26117824</v>
      </c>
      <c r="N83" s="6">
        <f t="shared" ref="N83:N118" si="14">J83+(19.62%*(J83)+I83)</f>
        <v>1616.6683631240001</v>
      </c>
      <c r="O83" s="6">
        <f t="shared" si="12"/>
        <v>19400.020357488</v>
      </c>
      <c r="R83" s="6"/>
      <c r="S83" s="2"/>
    </row>
    <row r="84" spans="1:19" x14ac:dyDescent="0.35">
      <c r="A84" s="4">
        <v>728</v>
      </c>
      <c r="B84" s="2">
        <v>46023</v>
      </c>
      <c r="D84" t="e">
        <f>VLOOKUP(C84,'Master Data'!$B$2:$G$155,6,0)</f>
        <v>#N/A</v>
      </c>
      <c r="E84" t="s">
        <v>37</v>
      </c>
      <c r="F84">
        <v>879.43</v>
      </c>
      <c r="G84" s="6">
        <v>26.382899999999999</v>
      </c>
      <c r="H84" s="6">
        <v>272.52</v>
      </c>
      <c r="I84" s="6">
        <v>102.26</v>
      </c>
      <c r="J84" s="6">
        <f t="shared" si="10"/>
        <v>1178.3328999999999</v>
      </c>
      <c r="K84" s="6">
        <v>914.38633039999991</v>
      </c>
      <c r="L84" s="6">
        <f t="shared" si="11"/>
        <v>1016.6463303999999</v>
      </c>
      <c r="M84" s="6">
        <f t="shared" si="13"/>
        <v>12199.755964799999</v>
      </c>
      <c r="N84" s="6">
        <f t="shared" si="14"/>
        <v>1511.7818149799998</v>
      </c>
      <c r="O84" s="6">
        <f t="shared" si="12"/>
        <v>18141.381779759999</v>
      </c>
      <c r="R84" s="6"/>
      <c r="S84" s="2"/>
    </row>
    <row r="85" spans="1:19" x14ac:dyDescent="0.35">
      <c r="A85" s="4">
        <v>686</v>
      </c>
      <c r="B85" s="2">
        <v>46023</v>
      </c>
      <c r="D85" t="e">
        <f>VLOOKUP(C85,'Master Data'!$B$2:$G$155,6,0)</f>
        <v>#N/A</v>
      </c>
      <c r="E85" t="s">
        <v>30</v>
      </c>
      <c r="F85">
        <v>690.25</v>
      </c>
      <c r="G85" s="6">
        <v>8.2829999999999995</v>
      </c>
      <c r="H85" s="6">
        <v>429.49</v>
      </c>
      <c r="I85" s="6">
        <v>102.26</v>
      </c>
      <c r="J85" s="6">
        <f t="shared" si="10"/>
        <v>1128.0230000000001</v>
      </c>
      <c r="K85" s="6">
        <v>875.34584800000016</v>
      </c>
      <c r="L85" s="6">
        <f t="shared" si="11"/>
        <v>977.60584800000015</v>
      </c>
      <c r="M85" s="6">
        <f t="shared" si="13"/>
        <v>11731.270176000002</v>
      </c>
      <c r="N85" s="6">
        <f t="shared" si="14"/>
        <v>1451.6011126000003</v>
      </c>
      <c r="O85" s="6">
        <f t="shared" si="12"/>
        <v>17419.213351200004</v>
      </c>
      <c r="R85" s="6"/>
      <c r="S85" s="2"/>
    </row>
    <row r="86" spans="1:19" x14ac:dyDescent="0.35">
      <c r="A86" s="4">
        <v>746</v>
      </c>
      <c r="B86" s="2">
        <v>46023</v>
      </c>
      <c r="D86" t="e">
        <f>VLOOKUP(C86,'Master Data'!$B$2:$G$155,6,0)</f>
        <v>#N/A</v>
      </c>
      <c r="E86" t="s">
        <v>25</v>
      </c>
      <c r="F86">
        <v>1124.8499999999999</v>
      </c>
      <c r="G86" s="6">
        <v>53.992799999999995</v>
      </c>
      <c r="H86" s="6">
        <v>337.45</v>
      </c>
      <c r="I86" s="6">
        <v>102.26</v>
      </c>
      <c r="J86" s="6">
        <f t="shared" si="10"/>
        <v>1516.2927999999999</v>
      </c>
      <c r="K86" s="6">
        <v>1176.6432127999999</v>
      </c>
      <c r="L86" s="6">
        <f t="shared" si="11"/>
        <v>1278.9032127999999</v>
      </c>
      <c r="M86" s="6">
        <f t="shared" si="13"/>
        <v>15346.838553599999</v>
      </c>
      <c r="N86" s="6">
        <f t="shared" si="14"/>
        <v>1916.0494473599999</v>
      </c>
      <c r="O86" s="6">
        <f t="shared" si="12"/>
        <v>22992.593368319998</v>
      </c>
      <c r="R86" s="6"/>
      <c r="S86" s="2"/>
    </row>
    <row r="87" spans="1:19" x14ac:dyDescent="0.35">
      <c r="A87" s="4">
        <v>740</v>
      </c>
      <c r="B87" s="2">
        <v>46023</v>
      </c>
      <c r="D87" t="e">
        <f>VLOOKUP(C87,'Master Data'!$B$2:$G$155,6,0)</f>
        <v>#N/A</v>
      </c>
      <c r="E87" t="s">
        <v>28</v>
      </c>
      <c r="F87">
        <v>639.12</v>
      </c>
      <c r="G87" s="6">
        <v>0</v>
      </c>
      <c r="H87" s="6">
        <v>88.25</v>
      </c>
      <c r="I87" s="6">
        <v>102.26</v>
      </c>
      <c r="J87" s="6">
        <f t="shared" si="10"/>
        <v>727.37</v>
      </c>
      <c r="K87" s="6">
        <v>564.43912</v>
      </c>
      <c r="L87" s="6">
        <f t="shared" si="11"/>
        <v>666.69911999999999</v>
      </c>
      <c r="M87" s="6">
        <f t="shared" si="13"/>
        <v>8000.3894399999999</v>
      </c>
      <c r="N87" s="6">
        <f t="shared" si="14"/>
        <v>972.33999400000005</v>
      </c>
      <c r="O87" s="6">
        <f t="shared" si="12"/>
        <v>11668.079928000001</v>
      </c>
      <c r="R87" s="6"/>
      <c r="S87" s="2"/>
    </row>
    <row r="88" spans="1:19" x14ac:dyDescent="0.35">
      <c r="A88" s="4">
        <v>696</v>
      </c>
      <c r="B88" s="2">
        <v>46023</v>
      </c>
      <c r="D88" t="e">
        <f>VLOOKUP(C88,'Master Data'!$B$2:$G$155,6,0)</f>
        <v>#N/A</v>
      </c>
      <c r="E88" t="s">
        <v>506</v>
      </c>
      <c r="F88">
        <v>989.35</v>
      </c>
      <c r="G88" s="6">
        <v>5.9360999999999997</v>
      </c>
      <c r="H88" s="6">
        <v>460.16</v>
      </c>
      <c r="I88" s="6">
        <v>102.26</v>
      </c>
      <c r="J88" s="6">
        <f t="shared" si="10"/>
        <v>1455.4461000000001</v>
      </c>
      <c r="K88" s="6">
        <v>1129.4261736000001</v>
      </c>
      <c r="L88" s="6">
        <f t="shared" si="11"/>
        <v>1231.6861736000001</v>
      </c>
      <c r="M88" s="6">
        <f t="shared" si="13"/>
        <v>14780.234083200001</v>
      </c>
      <c r="N88" s="6">
        <f t="shared" si="14"/>
        <v>1843.2646248200001</v>
      </c>
      <c r="O88" s="6">
        <f t="shared" si="12"/>
        <v>22119.175497840002</v>
      </c>
      <c r="R88" s="6"/>
      <c r="S88" s="2"/>
    </row>
    <row r="89" spans="1:19" x14ac:dyDescent="0.35">
      <c r="A89" s="4">
        <v>731</v>
      </c>
      <c r="B89" s="2">
        <v>46023</v>
      </c>
      <c r="D89" t="e">
        <f>VLOOKUP(C89,'Master Data'!$B$2:$G$155,6,0)</f>
        <v>#N/A</v>
      </c>
      <c r="E89" t="s">
        <v>28</v>
      </c>
      <c r="F89">
        <v>639.12</v>
      </c>
      <c r="G89" s="6">
        <v>0</v>
      </c>
      <c r="H89" s="6">
        <v>88.25</v>
      </c>
      <c r="I89" s="6">
        <v>102.26</v>
      </c>
      <c r="J89" s="6">
        <f t="shared" si="10"/>
        <v>727.37</v>
      </c>
      <c r="K89" s="6">
        <v>564.43912</v>
      </c>
      <c r="L89" s="6">
        <f t="shared" si="11"/>
        <v>666.69911999999999</v>
      </c>
      <c r="M89" s="6">
        <f t="shared" si="13"/>
        <v>8000.3894399999999</v>
      </c>
      <c r="N89" s="6">
        <f t="shared" si="14"/>
        <v>972.33999400000005</v>
      </c>
      <c r="O89" s="6">
        <f t="shared" si="12"/>
        <v>11668.079928000001</v>
      </c>
      <c r="R89" s="6"/>
      <c r="S89" s="2"/>
    </row>
    <row r="90" spans="1:19" x14ac:dyDescent="0.35">
      <c r="A90" s="4">
        <v>485</v>
      </c>
      <c r="B90" s="2">
        <v>46023</v>
      </c>
      <c r="D90" t="e">
        <f>VLOOKUP(C90,'Master Data'!$B$2:$G$155,6,0)</f>
        <v>#N/A</v>
      </c>
      <c r="E90" t="s">
        <v>28</v>
      </c>
      <c r="F90">
        <v>639.12</v>
      </c>
      <c r="G90" s="6">
        <v>38.347200000000001</v>
      </c>
      <c r="H90" s="6">
        <v>169.15</v>
      </c>
      <c r="I90" s="6">
        <v>102.26</v>
      </c>
      <c r="J90" s="6">
        <f t="shared" si="10"/>
        <v>846.61720000000003</v>
      </c>
      <c r="K90" s="6">
        <v>656.97494720000009</v>
      </c>
      <c r="L90" s="6">
        <f t="shared" si="11"/>
        <v>759.23494720000008</v>
      </c>
      <c r="M90" s="6">
        <f t="shared" si="13"/>
        <v>9110.8193664000009</v>
      </c>
      <c r="N90" s="6">
        <f t="shared" si="14"/>
        <v>1114.9834946400001</v>
      </c>
      <c r="O90" s="6">
        <f t="shared" si="12"/>
        <v>13379.801935680001</v>
      </c>
      <c r="R90" s="6"/>
      <c r="S90" s="2"/>
    </row>
    <row r="91" spans="1:19" x14ac:dyDescent="0.35">
      <c r="A91" s="4">
        <v>3</v>
      </c>
      <c r="B91" s="2">
        <v>46023</v>
      </c>
      <c r="D91" t="e">
        <f>VLOOKUP(C91,'Master Data'!$B$2:$G$155,6,0)</f>
        <v>#N/A</v>
      </c>
      <c r="E91" t="s">
        <v>29</v>
      </c>
      <c r="F91">
        <v>741.38</v>
      </c>
      <c r="G91" s="6">
        <v>53.379359999999998</v>
      </c>
      <c r="H91" s="6">
        <v>204.52</v>
      </c>
      <c r="I91" s="6">
        <v>102.26</v>
      </c>
      <c r="J91" s="6">
        <f t="shared" si="10"/>
        <v>999.27936</v>
      </c>
      <c r="K91" s="6">
        <v>775.44078336000007</v>
      </c>
      <c r="L91" s="6">
        <f t="shared" si="11"/>
        <v>877.70078336000006</v>
      </c>
      <c r="M91" s="6">
        <f t="shared" si="13"/>
        <v>10532.409400320001</v>
      </c>
      <c r="N91" s="6">
        <f t="shared" si="14"/>
        <v>1297.597970432</v>
      </c>
      <c r="O91" s="6">
        <f t="shared" si="12"/>
        <v>15571.175645184001</v>
      </c>
      <c r="R91" s="6"/>
      <c r="S91" s="2"/>
    </row>
    <row r="92" spans="1:19" x14ac:dyDescent="0.35">
      <c r="A92" s="4">
        <v>705</v>
      </c>
      <c r="B92" s="2">
        <v>46023</v>
      </c>
      <c r="D92" t="e">
        <f>VLOOKUP(C92,'Master Data'!$B$2:$G$155,6,0)</f>
        <v>#N/A</v>
      </c>
      <c r="E92" t="s">
        <v>45</v>
      </c>
      <c r="F92">
        <v>639.12</v>
      </c>
      <c r="G92" s="6">
        <v>3.8347199999999999</v>
      </c>
      <c r="H92" s="6">
        <v>0</v>
      </c>
      <c r="I92" s="6">
        <v>102.26</v>
      </c>
      <c r="J92" s="6">
        <f t="shared" si="10"/>
        <v>642.95471999999995</v>
      </c>
      <c r="K92" s="6">
        <v>498.93286272</v>
      </c>
      <c r="L92" s="6">
        <f t="shared" si="11"/>
        <v>601.19286271999999</v>
      </c>
      <c r="M92" s="6">
        <f t="shared" si="13"/>
        <v>7214.3143526399999</v>
      </c>
      <c r="N92" s="6">
        <f t="shared" si="14"/>
        <v>871.36243606399989</v>
      </c>
      <c r="O92" s="6">
        <f t="shared" si="12"/>
        <v>10456.349232768</v>
      </c>
      <c r="R92" s="6"/>
      <c r="S92" s="2"/>
    </row>
    <row r="93" spans="1:19" x14ac:dyDescent="0.35">
      <c r="A93" s="4">
        <v>40</v>
      </c>
      <c r="B93" s="2">
        <v>46023</v>
      </c>
      <c r="D93" t="e">
        <f>VLOOKUP(C93,'Master Data'!$B$2:$G$155,6,0)</f>
        <v>#N/A</v>
      </c>
      <c r="E93" t="s">
        <v>46</v>
      </c>
      <c r="F93">
        <v>986.8</v>
      </c>
      <c r="G93" s="6">
        <v>213.14880000000002</v>
      </c>
      <c r="H93" s="6">
        <v>153.38999999999999</v>
      </c>
      <c r="I93" s="6">
        <v>102.26</v>
      </c>
      <c r="J93" s="6">
        <f t="shared" si="10"/>
        <v>1353.3388</v>
      </c>
      <c r="K93" s="6">
        <v>1050.1909088</v>
      </c>
      <c r="L93" s="6">
        <f t="shared" si="11"/>
        <v>1152.4509088</v>
      </c>
      <c r="M93" s="6">
        <f t="shared" si="13"/>
        <v>13829.4109056</v>
      </c>
      <c r="N93" s="6">
        <f t="shared" si="14"/>
        <v>1721.1238725600001</v>
      </c>
      <c r="O93" s="6">
        <f t="shared" si="12"/>
        <v>20653.486470720003</v>
      </c>
      <c r="R93" s="6"/>
      <c r="S93" s="2"/>
    </row>
    <row r="94" spans="1:19" x14ac:dyDescent="0.35">
      <c r="A94" s="4">
        <v>655</v>
      </c>
      <c r="B94" s="2">
        <v>46023</v>
      </c>
      <c r="D94" t="e">
        <f>VLOOKUP(C94,'Master Data'!$B$2:$G$155,6,0)</f>
        <v>#N/A</v>
      </c>
      <c r="E94" t="s">
        <v>40</v>
      </c>
      <c r="F94">
        <v>1431.62</v>
      </c>
      <c r="G94" s="6">
        <v>51.538319999999992</v>
      </c>
      <c r="H94" s="6">
        <v>0</v>
      </c>
      <c r="I94" s="6">
        <v>102.26</v>
      </c>
      <c r="J94" s="6">
        <f t="shared" si="10"/>
        <v>1483.1583199999998</v>
      </c>
      <c r="K94" s="6">
        <v>1150.9308563199997</v>
      </c>
      <c r="L94" s="6">
        <f t="shared" si="11"/>
        <v>1253.1908563199997</v>
      </c>
      <c r="M94" s="6">
        <f t="shared" si="13"/>
        <v>15038.290275839998</v>
      </c>
      <c r="N94" s="6">
        <f t="shared" si="14"/>
        <v>1876.4139823839996</v>
      </c>
      <c r="O94" s="6">
        <f t="shared" si="12"/>
        <v>22516.967788607995</v>
      </c>
      <c r="R94" s="6"/>
      <c r="S94" s="2"/>
    </row>
    <row r="95" spans="1:19" x14ac:dyDescent="0.35">
      <c r="A95" s="4">
        <v>176</v>
      </c>
      <c r="B95" s="2">
        <v>46023</v>
      </c>
      <c r="D95" t="e">
        <f>VLOOKUP(C95,'Master Data'!$B$2:$G$155,6,0)</f>
        <v>#N/A</v>
      </c>
      <c r="E95" t="s">
        <v>28</v>
      </c>
      <c r="F95">
        <v>639.12</v>
      </c>
      <c r="G95" s="6">
        <v>53.686080000000004</v>
      </c>
      <c r="H95" s="6">
        <v>0</v>
      </c>
      <c r="I95" s="6">
        <v>102.26</v>
      </c>
      <c r="J95" s="6">
        <f t="shared" si="10"/>
        <v>692.80608000000007</v>
      </c>
      <c r="K95" s="6">
        <v>537.61751808000008</v>
      </c>
      <c r="L95" s="6">
        <f t="shared" si="11"/>
        <v>639.87751808000007</v>
      </c>
      <c r="M95" s="6">
        <f t="shared" si="13"/>
        <v>7678.5302169600009</v>
      </c>
      <c r="N95" s="6">
        <f t="shared" si="14"/>
        <v>930.9946328960001</v>
      </c>
      <c r="O95" s="6">
        <f t="shared" si="12"/>
        <v>11171.935594752002</v>
      </c>
      <c r="R95" s="6"/>
      <c r="S95" s="2"/>
    </row>
    <row r="96" spans="1:19" x14ac:dyDescent="0.35">
      <c r="A96" s="4">
        <v>689</v>
      </c>
      <c r="B96" s="2">
        <v>46023</v>
      </c>
      <c r="D96" t="e">
        <f>VLOOKUP(C96,'Master Data'!$B$2:$G$155,6,0)</f>
        <v>#N/A</v>
      </c>
      <c r="E96" t="s">
        <v>35</v>
      </c>
      <c r="F96">
        <v>792.51</v>
      </c>
      <c r="G96" s="6">
        <v>9.5101199999999988</v>
      </c>
      <c r="H96" s="6">
        <v>393.69</v>
      </c>
      <c r="I96" s="6">
        <v>102.26</v>
      </c>
      <c r="J96" s="6">
        <f t="shared" si="10"/>
        <v>1195.71012</v>
      </c>
      <c r="K96" s="6">
        <v>927.87105311999994</v>
      </c>
      <c r="L96" s="6">
        <f t="shared" si="11"/>
        <v>1030.1310531199999</v>
      </c>
      <c r="M96" s="6">
        <f t="shared" si="13"/>
        <v>12361.57263744</v>
      </c>
      <c r="N96" s="6">
        <f t="shared" si="14"/>
        <v>1532.568445544</v>
      </c>
      <c r="O96" s="6">
        <f t="shared" si="12"/>
        <v>18390.821346527999</v>
      </c>
      <c r="R96" s="6"/>
      <c r="S96" s="2"/>
    </row>
    <row r="97" spans="1:19" x14ac:dyDescent="0.35">
      <c r="A97" s="4">
        <v>733</v>
      </c>
      <c r="B97" s="2">
        <v>46023</v>
      </c>
      <c r="D97" t="e">
        <f>VLOOKUP(C97,'Master Data'!$B$2:$G$155,6,0)</f>
        <v>#N/A</v>
      </c>
      <c r="E97" t="s">
        <v>35</v>
      </c>
      <c r="F97">
        <v>1135.07</v>
      </c>
      <c r="G97" s="6">
        <v>0</v>
      </c>
      <c r="H97" s="6">
        <v>380.4</v>
      </c>
      <c r="I97" s="6">
        <v>102.26</v>
      </c>
      <c r="J97" s="6">
        <f t="shared" si="10"/>
        <v>1515.4699999999998</v>
      </c>
      <c r="K97" s="6">
        <v>1176.0047199999999</v>
      </c>
      <c r="L97" s="6">
        <f t="shared" si="11"/>
        <v>1278.2647199999999</v>
      </c>
      <c r="M97" s="6">
        <f t="shared" si="13"/>
        <v>15339.176639999998</v>
      </c>
      <c r="N97" s="6">
        <f t="shared" si="14"/>
        <v>1915.0652139999997</v>
      </c>
      <c r="O97" s="6">
        <f t="shared" si="12"/>
        <v>22980.782567999995</v>
      </c>
      <c r="R97" s="6"/>
      <c r="S97" s="2"/>
    </row>
    <row r="98" spans="1:19" x14ac:dyDescent="0.35">
      <c r="A98" s="4">
        <v>356</v>
      </c>
      <c r="B98" s="2">
        <v>46023</v>
      </c>
      <c r="D98" t="e">
        <f>VLOOKUP(C98,'Master Data'!$B$2:$G$155,6,0)</f>
        <v>#N/A</v>
      </c>
      <c r="E98" t="s">
        <v>26</v>
      </c>
      <c r="F98">
        <v>741.38</v>
      </c>
      <c r="G98" s="6">
        <v>40.034520000000001</v>
      </c>
      <c r="H98" s="6">
        <v>169.06</v>
      </c>
      <c r="I98" s="6">
        <v>102.26</v>
      </c>
      <c r="J98" s="6">
        <f t="shared" ref="J98:J129" si="15">F98+G98+H98</f>
        <v>950.47451999999998</v>
      </c>
      <c r="K98" s="6">
        <v>737.56822752000005</v>
      </c>
      <c r="L98" s="6">
        <f t="shared" ref="L98:L129" si="16">K98+I98</f>
        <v>839.82822752000004</v>
      </c>
      <c r="M98" s="6">
        <f t="shared" si="13"/>
        <v>10077.938730240001</v>
      </c>
      <c r="N98" s="6">
        <f t="shared" si="14"/>
        <v>1239.2176208240001</v>
      </c>
      <c r="O98" s="6">
        <f t="shared" ref="O98:O129" si="17">N98*12</f>
        <v>14870.611449888002</v>
      </c>
      <c r="R98" s="6"/>
      <c r="S98" s="2"/>
    </row>
    <row r="99" spans="1:19" x14ac:dyDescent="0.35">
      <c r="A99" s="4">
        <v>116</v>
      </c>
      <c r="B99" s="2">
        <v>46023</v>
      </c>
      <c r="D99" t="e">
        <f>VLOOKUP(C99,'Master Data'!$B$2:$G$155,6,0)</f>
        <v>#N/A</v>
      </c>
      <c r="E99" t="s">
        <v>27</v>
      </c>
      <c r="F99">
        <v>674.91</v>
      </c>
      <c r="G99" s="6">
        <v>68.840819999999994</v>
      </c>
      <c r="H99" s="6">
        <v>187.79</v>
      </c>
      <c r="I99" s="6">
        <v>102.26</v>
      </c>
      <c r="J99" s="6">
        <f t="shared" si="15"/>
        <v>931.54081999999994</v>
      </c>
      <c r="K99" s="6">
        <v>722.87567632000003</v>
      </c>
      <c r="L99" s="6">
        <f t="shared" si="16"/>
        <v>825.13567632000002</v>
      </c>
      <c r="M99" s="6">
        <f t="shared" si="13"/>
        <v>9901.6281158399997</v>
      </c>
      <c r="N99" s="6">
        <f t="shared" si="14"/>
        <v>1216.5691288839998</v>
      </c>
      <c r="O99" s="6">
        <f t="shared" si="17"/>
        <v>14598.829546607998</v>
      </c>
      <c r="R99" s="6"/>
      <c r="S99" s="2"/>
    </row>
    <row r="100" spans="1:19" x14ac:dyDescent="0.35">
      <c r="A100" s="4">
        <v>707</v>
      </c>
      <c r="B100" s="2">
        <v>46023</v>
      </c>
      <c r="D100" t="e">
        <f>VLOOKUP(C100,'Master Data'!$B$2:$G$155,6,0)</f>
        <v>#N/A</v>
      </c>
      <c r="E100" t="s">
        <v>28</v>
      </c>
      <c r="F100">
        <v>639.12</v>
      </c>
      <c r="G100" s="6">
        <v>3.8347199999999999</v>
      </c>
      <c r="H100" s="6">
        <v>184.5</v>
      </c>
      <c r="I100" s="6">
        <v>102.26</v>
      </c>
      <c r="J100" s="6">
        <f t="shared" si="15"/>
        <v>827.45471999999995</v>
      </c>
      <c r="K100" s="6">
        <v>642.10486272000003</v>
      </c>
      <c r="L100" s="6">
        <f t="shared" si="16"/>
        <v>744.36486272000002</v>
      </c>
      <c r="M100" s="6">
        <f t="shared" si="13"/>
        <v>8932.3783526400002</v>
      </c>
      <c r="N100" s="6">
        <f t="shared" si="14"/>
        <v>1092.061336064</v>
      </c>
      <c r="O100" s="6">
        <f t="shared" si="17"/>
        <v>13104.736032768</v>
      </c>
      <c r="R100" s="6"/>
      <c r="S100" s="2"/>
    </row>
    <row r="101" spans="1:19" x14ac:dyDescent="0.35">
      <c r="A101" s="4">
        <v>474</v>
      </c>
      <c r="B101" s="2">
        <v>46023</v>
      </c>
      <c r="D101" t="e">
        <f>VLOOKUP(C101,'Master Data'!$B$2:$G$155,6,0)</f>
        <v>#N/A</v>
      </c>
      <c r="E101" t="s">
        <v>28</v>
      </c>
      <c r="F101">
        <v>639.12</v>
      </c>
      <c r="G101" s="6">
        <v>26.843040000000002</v>
      </c>
      <c r="H101" s="6">
        <v>180.66</v>
      </c>
      <c r="I101" s="6">
        <v>102.26</v>
      </c>
      <c r="J101" s="6">
        <f t="shared" si="15"/>
        <v>846.62303999999995</v>
      </c>
      <c r="K101" s="6">
        <v>656.97947904</v>
      </c>
      <c r="L101" s="6">
        <f t="shared" si="16"/>
        <v>759.23947903999999</v>
      </c>
      <c r="M101" s="6">
        <f t="shared" si="13"/>
        <v>9110.8737484800004</v>
      </c>
      <c r="N101" s="6">
        <f t="shared" si="14"/>
        <v>1114.990480448</v>
      </c>
      <c r="O101" s="6">
        <f t="shared" si="17"/>
        <v>13379.885765375999</v>
      </c>
      <c r="R101" s="6"/>
      <c r="S101" s="2"/>
    </row>
    <row r="102" spans="1:19" x14ac:dyDescent="0.35">
      <c r="A102" s="4">
        <v>667</v>
      </c>
      <c r="B102" s="2">
        <v>46023</v>
      </c>
      <c r="D102" t="e">
        <f>VLOOKUP(C102,'Master Data'!$B$2:$G$155,6,0)</f>
        <v>#N/A</v>
      </c>
      <c r="E102" t="s">
        <v>48</v>
      </c>
      <c r="F102">
        <v>1861.11</v>
      </c>
      <c r="G102" s="6">
        <v>22.333320000000001</v>
      </c>
      <c r="H102" s="6">
        <v>817.56</v>
      </c>
      <c r="I102" s="6">
        <v>102.26</v>
      </c>
      <c r="J102" s="6">
        <f t="shared" si="15"/>
        <v>2701.0033199999998</v>
      </c>
      <c r="K102" s="6">
        <v>2169.0100000000002</v>
      </c>
      <c r="L102" s="6">
        <f t="shared" si="16"/>
        <v>2271.2700000000004</v>
      </c>
      <c r="M102" s="6">
        <f t="shared" si="13"/>
        <v>27255.240000000005</v>
      </c>
      <c r="N102" s="6">
        <f t="shared" si="14"/>
        <v>3333.200171384</v>
      </c>
      <c r="O102" s="6">
        <f t="shared" si="17"/>
        <v>39998.402056608</v>
      </c>
      <c r="R102" s="6"/>
      <c r="S102" s="2"/>
    </row>
    <row r="103" spans="1:19" x14ac:dyDescent="0.35">
      <c r="A103" s="4">
        <v>289</v>
      </c>
      <c r="B103" s="2">
        <v>46023</v>
      </c>
      <c r="D103" t="e">
        <f>VLOOKUP(C103,'Master Data'!$B$2:$G$155,6,0)</f>
        <v>#N/A</v>
      </c>
      <c r="E103" t="s">
        <v>27</v>
      </c>
      <c r="F103">
        <v>674.91</v>
      </c>
      <c r="G103" s="6">
        <v>44.544060000000002</v>
      </c>
      <c r="H103" s="6">
        <v>179.86</v>
      </c>
      <c r="I103" s="6">
        <v>102.26</v>
      </c>
      <c r="J103" s="6">
        <f t="shared" si="15"/>
        <v>899.31406000000004</v>
      </c>
      <c r="K103" s="6">
        <v>697.86771056000009</v>
      </c>
      <c r="L103" s="6">
        <f t="shared" si="16"/>
        <v>800.12771056000008</v>
      </c>
      <c r="M103" s="6">
        <f t="shared" si="13"/>
        <v>9601.5325267200005</v>
      </c>
      <c r="N103" s="6">
        <f t="shared" si="14"/>
        <v>1178.019478572</v>
      </c>
      <c r="O103" s="6">
        <f t="shared" si="17"/>
        <v>14136.233742864</v>
      </c>
      <c r="R103" s="6"/>
      <c r="S103" s="2"/>
    </row>
    <row r="104" spans="1:19" x14ac:dyDescent="0.35">
      <c r="A104" s="4">
        <v>248</v>
      </c>
      <c r="B104" s="2">
        <v>46023</v>
      </c>
      <c r="D104" t="e">
        <f>VLOOKUP(C104,'Master Data'!$B$2:$G$155,6,0)</f>
        <v>#N/A</v>
      </c>
      <c r="E104" t="s">
        <v>47</v>
      </c>
      <c r="F104">
        <v>989.35</v>
      </c>
      <c r="G104" s="6">
        <v>65.2971</v>
      </c>
      <c r="H104" s="6">
        <v>807.84</v>
      </c>
      <c r="I104" s="6">
        <v>102.26</v>
      </c>
      <c r="J104" s="6">
        <f t="shared" si="15"/>
        <v>1862.4871000000003</v>
      </c>
      <c r="K104" s="6">
        <v>1445.2899896000004</v>
      </c>
      <c r="L104" s="6">
        <f t="shared" si="16"/>
        <v>1547.5499896000003</v>
      </c>
      <c r="M104" s="6">
        <f t="shared" si="13"/>
        <v>18570.599875200005</v>
      </c>
      <c r="N104" s="6">
        <f t="shared" si="14"/>
        <v>2330.1670690200003</v>
      </c>
      <c r="O104" s="6">
        <f t="shared" si="17"/>
        <v>27962.004828240002</v>
      </c>
      <c r="R104" s="6"/>
      <c r="S104" s="2"/>
    </row>
    <row r="105" spans="1:19" x14ac:dyDescent="0.35">
      <c r="A105" s="4">
        <v>661</v>
      </c>
      <c r="B105" s="2">
        <v>46023</v>
      </c>
      <c r="D105" t="e">
        <f>VLOOKUP(C105,'Master Data'!$B$2:$G$155,6,0)</f>
        <v>#N/A</v>
      </c>
      <c r="E105" t="s">
        <v>38</v>
      </c>
      <c r="F105">
        <v>1089.06</v>
      </c>
      <c r="G105" s="6">
        <v>52.274879999999996</v>
      </c>
      <c r="H105" s="6">
        <v>420.79</v>
      </c>
      <c r="I105" s="6">
        <v>102.26</v>
      </c>
      <c r="J105" s="6">
        <f t="shared" si="15"/>
        <v>1562.1248799999998</v>
      </c>
      <c r="K105" s="6">
        <v>1212.2089068799999</v>
      </c>
      <c r="L105" s="6">
        <f t="shared" si="16"/>
        <v>1314.4689068799998</v>
      </c>
      <c r="M105" s="6">
        <f t="shared" si="13"/>
        <v>15773.626882559998</v>
      </c>
      <c r="N105" s="6">
        <f t="shared" si="14"/>
        <v>1970.873781456</v>
      </c>
      <c r="O105" s="6">
        <f t="shared" si="17"/>
        <v>23650.485377472</v>
      </c>
      <c r="R105" s="6"/>
      <c r="S105" s="2"/>
    </row>
    <row r="106" spans="1:19" x14ac:dyDescent="0.35">
      <c r="A106" s="4">
        <v>699</v>
      </c>
      <c r="B106" s="2">
        <v>46023</v>
      </c>
      <c r="D106" t="e">
        <f>VLOOKUP(C106,'Master Data'!$B$2:$G$155,6,0)</f>
        <v>#N/A</v>
      </c>
      <c r="E106" t="s">
        <v>32</v>
      </c>
      <c r="F106">
        <v>889.65</v>
      </c>
      <c r="G106" s="6">
        <v>5.3378999999999994</v>
      </c>
      <c r="H106" s="6">
        <v>296.55</v>
      </c>
      <c r="I106" s="6">
        <v>102.26</v>
      </c>
      <c r="J106" s="6">
        <f t="shared" si="15"/>
        <v>1191.5379</v>
      </c>
      <c r="K106" s="6">
        <v>924.6334104</v>
      </c>
      <c r="L106" s="6">
        <f t="shared" si="16"/>
        <v>1026.8934104</v>
      </c>
      <c r="M106" s="6">
        <f t="shared" si="13"/>
        <v>12322.7209248</v>
      </c>
      <c r="N106" s="6">
        <f t="shared" si="14"/>
        <v>1527.5776359800002</v>
      </c>
      <c r="O106" s="6">
        <f t="shared" si="17"/>
        <v>18330.931631760002</v>
      </c>
      <c r="R106" s="6"/>
      <c r="S106" s="2"/>
    </row>
    <row r="107" spans="1:19" x14ac:dyDescent="0.35">
      <c r="A107" s="4">
        <v>730</v>
      </c>
      <c r="B107" s="2">
        <v>46023</v>
      </c>
      <c r="D107" t="e">
        <f>VLOOKUP(C107,'Master Data'!$B$2:$G$155,6,0)</f>
        <v>#N/A</v>
      </c>
      <c r="E107" t="s">
        <v>28</v>
      </c>
      <c r="F107">
        <v>639.12</v>
      </c>
      <c r="G107" s="6">
        <v>0</v>
      </c>
      <c r="H107" s="6">
        <v>88.25</v>
      </c>
      <c r="I107" s="6">
        <v>102.26</v>
      </c>
      <c r="J107" s="6">
        <f t="shared" si="15"/>
        <v>727.37</v>
      </c>
      <c r="K107" s="6">
        <v>564.43912</v>
      </c>
      <c r="L107" s="6">
        <f t="shared" si="16"/>
        <v>666.69911999999999</v>
      </c>
      <c r="M107" s="6">
        <f t="shared" si="13"/>
        <v>8000.3894399999999</v>
      </c>
      <c r="N107" s="6">
        <f t="shared" si="14"/>
        <v>972.33999400000005</v>
      </c>
      <c r="O107" s="6">
        <f t="shared" si="17"/>
        <v>11668.079928000001</v>
      </c>
      <c r="R107" s="6"/>
      <c r="S107" s="2"/>
    </row>
    <row r="108" spans="1:19" x14ac:dyDescent="0.35">
      <c r="A108" s="4">
        <v>694</v>
      </c>
      <c r="B108" s="2">
        <v>46023</v>
      </c>
      <c r="D108" t="e">
        <f>VLOOKUP(C108,'Master Data'!$B$2:$G$155,6,0)</f>
        <v>#N/A</v>
      </c>
      <c r="E108" t="s">
        <v>41</v>
      </c>
      <c r="F108">
        <v>2116.75</v>
      </c>
      <c r="G108" s="6">
        <v>25.401</v>
      </c>
      <c r="H108" s="6">
        <v>949.47</v>
      </c>
      <c r="I108" s="6">
        <v>102.26</v>
      </c>
      <c r="J108" s="6">
        <f t="shared" si="15"/>
        <v>3091.6210000000001</v>
      </c>
      <c r="K108" s="6">
        <v>2520.5700000000002</v>
      </c>
      <c r="L108" s="6">
        <f t="shared" si="16"/>
        <v>2622.8300000000004</v>
      </c>
      <c r="M108" s="6">
        <f t="shared" si="13"/>
        <v>31473.960000000006</v>
      </c>
      <c r="N108" s="6">
        <f t="shared" si="14"/>
        <v>3800.4570401999999</v>
      </c>
      <c r="O108" s="6">
        <f t="shared" si="17"/>
        <v>45605.484482400003</v>
      </c>
      <c r="R108" s="6"/>
      <c r="S108" s="2"/>
    </row>
    <row r="109" spans="1:19" x14ac:dyDescent="0.35">
      <c r="A109" s="4">
        <v>334</v>
      </c>
      <c r="B109" s="2">
        <v>46023</v>
      </c>
      <c r="D109" t="e">
        <f>VLOOKUP(C109,'Master Data'!$B$2:$G$155,6,0)</f>
        <v>#N/A</v>
      </c>
      <c r="E109" t="s">
        <v>29</v>
      </c>
      <c r="F109">
        <v>790.97</v>
      </c>
      <c r="G109" s="6">
        <v>75.933120000000002</v>
      </c>
      <c r="H109" s="6">
        <v>131.4</v>
      </c>
      <c r="I109" s="6">
        <v>102.26</v>
      </c>
      <c r="J109" s="6">
        <f t="shared" si="15"/>
        <v>998.30312000000004</v>
      </c>
      <c r="K109" s="6">
        <v>774.6832211200001</v>
      </c>
      <c r="L109" s="6">
        <f t="shared" si="16"/>
        <v>876.94322112000009</v>
      </c>
      <c r="M109" s="6">
        <f t="shared" si="13"/>
        <v>10523.318653440001</v>
      </c>
      <c r="N109" s="6">
        <f t="shared" si="14"/>
        <v>1296.4301921440001</v>
      </c>
      <c r="O109" s="6">
        <f t="shared" si="17"/>
        <v>15557.162305728001</v>
      </c>
      <c r="R109" s="6"/>
      <c r="S109" s="2"/>
    </row>
    <row r="110" spans="1:19" x14ac:dyDescent="0.35">
      <c r="A110" s="4">
        <v>131</v>
      </c>
      <c r="B110" s="2">
        <v>46023</v>
      </c>
      <c r="D110" t="e">
        <f>VLOOKUP(C110,'Master Data'!$B$2:$G$155,6,0)</f>
        <v>#N/A</v>
      </c>
      <c r="E110" t="s">
        <v>28</v>
      </c>
      <c r="F110">
        <v>639.12</v>
      </c>
      <c r="G110" s="6">
        <v>69.024960000000007</v>
      </c>
      <c r="H110" s="6">
        <v>88.25</v>
      </c>
      <c r="I110" s="6">
        <v>102.26</v>
      </c>
      <c r="J110" s="6">
        <f t="shared" si="15"/>
        <v>796.39495999999997</v>
      </c>
      <c r="K110" s="6">
        <v>618.00248896000005</v>
      </c>
      <c r="L110" s="6">
        <f t="shared" si="16"/>
        <v>720.26248896000004</v>
      </c>
      <c r="M110" s="6">
        <f t="shared" si="13"/>
        <v>8643.14986752</v>
      </c>
      <c r="N110" s="6">
        <f t="shared" si="14"/>
        <v>1054.907651152</v>
      </c>
      <c r="O110" s="6">
        <f t="shared" si="17"/>
        <v>12658.891813824001</v>
      </c>
      <c r="R110" s="6"/>
      <c r="S110" s="2"/>
    </row>
    <row r="111" spans="1:19" x14ac:dyDescent="0.35">
      <c r="A111" s="4">
        <v>195</v>
      </c>
      <c r="B111" s="2">
        <v>46023</v>
      </c>
      <c r="D111" t="e">
        <f>VLOOKUP(C111,'Master Data'!$B$2:$G$155,6,0)</f>
        <v>#N/A</v>
      </c>
      <c r="E111" t="s">
        <v>32</v>
      </c>
      <c r="F111">
        <v>915.22</v>
      </c>
      <c r="G111" s="6">
        <v>93.352439999999987</v>
      </c>
      <c r="H111" s="6">
        <v>1237.33</v>
      </c>
      <c r="I111" s="6">
        <v>102.26</v>
      </c>
      <c r="J111" s="6">
        <f t="shared" si="15"/>
        <v>2245.9024399999998</v>
      </c>
      <c r="K111" s="6">
        <v>1759.42</v>
      </c>
      <c r="L111" s="6">
        <f t="shared" si="16"/>
        <v>1861.68</v>
      </c>
      <c r="M111" s="6">
        <f t="shared" si="13"/>
        <v>22340.16</v>
      </c>
      <c r="N111" s="6">
        <f t="shared" si="14"/>
        <v>2788.8084987279999</v>
      </c>
      <c r="O111" s="6">
        <f t="shared" si="17"/>
        <v>33465.701984735999</v>
      </c>
      <c r="R111" s="6"/>
      <c r="S111" s="2"/>
    </row>
    <row r="112" spans="1:19" x14ac:dyDescent="0.35">
      <c r="A112" s="4">
        <v>750</v>
      </c>
      <c r="B112" s="2">
        <v>46023</v>
      </c>
      <c r="D112" t="e">
        <f>VLOOKUP(C112,'Master Data'!$B$2:$G$155,6,0)</f>
        <v>#N/A</v>
      </c>
      <c r="E112" t="s">
        <v>28</v>
      </c>
      <c r="F112">
        <v>640</v>
      </c>
      <c r="G112" s="6">
        <v>0</v>
      </c>
      <c r="H112" s="6">
        <v>85.53</v>
      </c>
      <c r="I112" s="6">
        <v>102.26</v>
      </c>
      <c r="J112" s="6">
        <f t="shared" si="15"/>
        <v>725.53</v>
      </c>
      <c r="K112" s="6">
        <v>563.01127999999994</v>
      </c>
      <c r="L112" s="6">
        <f t="shared" si="16"/>
        <v>665.27127999999993</v>
      </c>
      <c r="M112" s="6">
        <f t="shared" si="13"/>
        <v>7983.2553599999992</v>
      </c>
      <c r="N112" s="6">
        <f t="shared" si="14"/>
        <v>970.13898599999993</v>
      </c>
      <c r="O112" s="6">
        <f t="shared" si="17"/>
        <v>11641.667831999999</v>
      </c>
      <c r="R112" s="6"/>
      <c r="S112" s="2"/>
    </row>
    <row r="113" spans="1:19" x14ac:dyDescent="0.35">
      <c r="A113" s="4">
        <v>246</v>
      </c>
      <c r="B113" s="2">
        <v>46023</v>
      </c>
      <c r="D113" t="e">
        <f>VLOOKUP(C113,'Master Data'!$B$2:$G$155,6,0)</f>
        <v>#N/A</v>
      </c>
      <c r="E113" t="s">
        <v>26</v>
      </c>
      <c r="F113">
        <v>715.81</v>
      </c>
      <c r="G113" s="6">
        <v>47.243459999999999</v>
      </c>
      <c r="H113" s="6">
        <v>1097.23</v>
      </c>
      <c r="I113" s="6">
        <v>102.26</v>
      </c>
      <c r="J113" s="6">
        <f t="shared" si="15"/>
        <v>1860.2834600000001</v>
      </c>
      <c r="K113" s="6">
        <v>1443.5799649600001</v>
      </c>
      <c r="L113" s="6">
        <f t="shared" si="16"/>
        <v>1545.8399649600001</v>
      </c>
      <c r="M113" s="6">
        <f t="shared" si="13"/>
        <v>18550.079579520003</v>
      </c>
      <c r="N113" s="6">
        <f t="shared" si="14"/>
        <v>2327.5310748520001</v>
      </c>
      <c r="O113" s="6">
        <f t="shared" si="17"/>
        <v>27930.372898223999</v>
      </c>
      <c r="R113" s="6"/>
      <c r="S113" s="2"/>
    </row>
    <row r="114" spans="1:19" x14ac:dyDescent="0.35">
      <c r="A114" s="4">
        <v>727</v>
      </c>
      <c r="B114" s="2">
        <v>46023</v>
      </c>
      <c r="D114" t="e">
        <f>VLOOKUP(C114,'Master Data'!$B$2:$G$155,6,0)</f>
        <v>#N/A</v>
      </c>
      <c r="E114" t="s">
        <v>27</v>
      </c>
      <c r="F114">
        <v>1710.28</v>
      </c>
      <c r="G114" s="6">
        <v>0</v>
      </c>
      <c r="H114" s="6">
        <v>569.58000000000004</v>
      </c>
      <c r="I114" s="6">
        <v>102.26</v>
      </c>
      <c r="J114" s="6">
        <f t="shared" si="15"/>
        <v>2279.86</v>
      </c>
      <c r="K114" s="6">
        <v>1789.98</v>
      </c>
      <c r="L114" s="6">
        <f t="shared" si="16"/>
        <v>1892.24</v>
      </c>
      <c r="M114" s="6">
        <f t="shared" si="13"/>
        <v>22706.880000000001</v>
      </c>
      <c r="N114" s="6">
        <f t="shared" si="14"/>
        <v>2829.4285320000004</v>
      </c>
      <c r="O114" s="6">
        <f t="shared" si="17"/>
        <v>33953.142384000006</v>
      </c>
      <c r="R114" s="6"/>
      <c r="S114" s="2"/>
    </row>
    <row r="115" spans="1:19" x14ac:dyDescent="0.35">
      <c r="A115" s="4">
        <v>406</v>
      </c>
      <c r="B115" s="2">
        <v>46023</v>
      </c>
      <c r="D115" t="e">
        <f>VLOOKUP(C115,'Master Data'!$B$2:$G$155,6,0)</f>
        <v>#N/A</v>
      </c>
      <c r="E115" t="s">
        <v>37</v>
      </c>
      <c r="F115">
        <v>792.51</v>
      </c>
      <c r="G115" s="6">
        <v>38.040479999999995</v>
      </c>
      <c r="H115" s="6">
        <v>632.98</v>
      </c>
      <c r="I115" s="6">
        <v>102.26</v>
      </c>
      <c r="J115" s="6">
        <f t="shared" si="15"/>
        <v>1463.5304799999999</v>
      </c>
      <c r="K115" s="6">
        <v>1135.6996524799999</v>
      </c>
      <c r="L115" s="6">
        <f t="shared" si="16"/>
        <v>1237.9596524799999</v>
      </c>
      <c r="M115" s="6">
        <f t="shared" si="13"/>
        <v>14855.515829759999</v>
      </c>
      <c r="N115" s="6">
        <f t="shared" si="14"/>
        <v>1852.935160176</v>
      </c>
      <c r="O115" s="6">
        <f t="shared" si="17"/>
        <v>22235.221922111999</v>
      </c>
      <c r="R115" s="6"/>
      <c r="S115" s="2"/>
    </row>
    <row r="116" spans="1:19" x14ac:dyDescent="0.35">
      <c r="A116" s="4">
        <v>333</v>
      </c>
      <c r="B116" s="2">
        <v>46023</v>
      </c>
      <c r="D116" t="e">
        <f>VLOOKUP(C116,'Master Data'!$B$2:$G$155,6,0)</f>
        <v>#N/A</v>
      </c>
      <c r="E116" t="s">
        <v>28</v>
      </c>
      <c r="F116">
        <v>639.12</v>
      </c>
      <c r="G116" s="6">
        <v>38.347200000000001</v>
      </c>
      <c r="H116" s="6">
        <v>184.5</v>
      </c>
      <c r="I116" s="6">
        <v>102.26</v>
      </c>
      <c r="J116" s="6">
        <f t="shared" si="15"/>
        <v>861.96720000000005</v>
      </c>
      <c r="K116" s="6">
        <v>668.88654720000011</v>
      </c>
      <c r="L116" s="6">
        <f t="shared" si="16"/>
        <v>771.1465472000001</v>
      </c>
      <c r="M116" s="6">
        <f t="shared" si="13"/>
        <v>9253.7585664000017</v>
      </c>
      <c r="N116" s="6">
        <f t="shared" si="14"/>
        <v>1133.3451646400001</v>
      </c>
      <c r="O116" s="6">
        <f t="shared" si="17"/>
        <v>13600.141975680002</v>
      </c>
      <c r="R116" s="6"/>
      <c r="S116" s="2"/>
    </row>
    <row r="117" spans="1:19" x14ac:dyDescent="0.35">
      <c r="A117" s="4">
        <v>603</v>
      </c>
      <c r="B117" s="2">
        <v>46023</v>
      </c>
      <c r="D117" t="e">
        <f>VLOOKUP(C117,'Master Data'!$B$2:$G$155,6,0)</f>
        <v>#N/A</v>
      </c>
      <c r="E117" t="s">
        <v>25</v>
      </c>
      <c r="F117">
        <v>1140.19</v>
      </c>
      <c r="G117" s="6">
        <v>88.934820000000002</v>
      </c>
      <c r="H117" s="6">
        <v>840.74</v>
      </c>
      <c r="I117" s="6">
        <v>102.26</v>
      </c>
      <c r="J117" s="6">
        <f t="shared" si="15"/>
        <v>2069.8648199999998</v>
      </c>
      <c r="K117" s="6">
        <v>1606.17</v>
      </c>
      <c r="L117" s="6">
        <f t="shared" si="16"/>
        <v>1708.43</v>
      </c>
      <c r="M117" s="6">
        <f t="shared" si="13"/>
        <v>20501.16</v>
      </c>
      <c r="N117" s="6">
        <f t="shared" si="14"/>
        <v>2578.2322976839996</v>
      </c>
      <c r="O117" s="6">
        <f t="shared" si="17"/>
        <v>30938.787572207995</v>
      </c>
      <c r="R117" s="6"/>
      <c r="S117" s="2"/>
    </row>
    <row r="118" spans="1:19" x14ac:dyDescent="0.35">
      <c r="A118" s="4">
        <v>338</v>
      </c>
      <c r="B118" s="2">
        <v>46023</v>
      </c>
      <c r="D118" t="e">
        <f>VLOOKUP(C118,'Master Data'!$B$2:$G$155,6,0)</f>
        <v>#N/A</v>
      </c>
      <c r="E118" t="s">
        <v>28</v>
      </c>
      <c r="F118">
        <v>639.12</v>
      </c>
      <c r="G118" s="6">
        <v>38.347200000000001</v>
      </c>
      <c r="H118" s="6">
        <v>88.25</v>
      </c>
      <c r="I118" s="6">
        <v>102.26</v>
      </c>
      <c r="J118" s="6">
        <f t="shared" si="15"/>
        <v>765.71720000000005</v>
      </c>
      <c r="K118" s="6">
        <v>594.19654720000005</v>
      </c>
      <c r="L118" s="6">
        <f t="shared" si="16"/>
        <v>696.45654720000005</v>
      </c>
      <c r="M118" s="6">
        <f t="shared" si="13"/>
        <v>8357.478566400001</v>
      </c>
      <c r="N118" s="6">
        <f t="shared" si="14"/>
        <v>1018.2109146400001</v>
      </c>
      <c r="O118" s="6">
        <f t="shared" si="17"/>
        <v>12218.530975680002</v>
      </c>
      <c r="R118" s="6"/>
      <c r="S118" s="2"/>
    </row>
    <row r="119" spans="1:19" x14ac:dyDescent="0.35">
      <c r="A119" s="4">
        <v>735</v>
      </c>
      <c r="B119" s="2">
        <v>46023</v>
      </c>
      <c r="D119" t="e">
        <f>VLOOKUP(C119,'Master Data'!$B$2:$G$155,6,0)</f>
        <v>#N/A</v>
      </c>
      <c r="E119" t="s">
        <v>29</v>
      </c>
      <c r="F119">
        <v>155.94999999999999</v>
      </c>
      <c r="G119" s="6">
        <v>0</v>
      </c>
      <c r="H119" s="6">
        <v>0</v>
      </c>
      <c r="I119" s="6">
        <v>102.26</v>
      </c>
      <c r="J119" s="6">
        <f t="shared" si="15"/>
        <v>155.94999999999999</v>
      </c>
      <c r="K119" s="6">
        <v>140.35</v>
      </c>
      <c r="L119" s="6">
        <f t="shared" si="16"/>
        <v>242.61</v>
      </c>
      <c r="M119" s="6">
        <f t="shared" si="13"/>
        <v>2911.32</v>
      </c>
      <c r="N119" s="6">
        <f>J119+I119</f>
        <v>258.20999999999998</v>
      </c>
      <c r="O119" s="6">
        <f t="shared" si="17"/>
        <v>3098.5199999999995</v>
      </c>
      <c r="R119" s="6"/>
      <c r="S119" s="2"/>
    </row>
    <row r="120" spans="1:19" x14ac:dyDescent="0.35">
      <c r="A120" s="4">
        <v>315</v>
      </c>
      <c r="B120" s="2">
        <v>46023</v>
      </c>
      <c r="D120" t="e">
        <f>VLOOKUP(C120,'Master Data'!$B$2:$G$155,6,0)</f>
        <v>#N/A</v>
      </c>
      <c r="E120" t="s">
        <v>28</v>
      </c>
      <c r="F120">
        <v>737</v>
      </c>
      <c r="G120" s="6">
        <v>44.22</v>
      </c>
      <c r="H120" s="6">
        <v>273.5</v>
      </c>
      <c r="I120" s="6">
        <v>102.26</v>
      </c>
      <c r="J120" s="6">
        <f t="shared" si="15"/>
        <v>1054.72</v>
      </c>
      <c r="K120" s="6">
        <v>818.46271999999999</v>
      </c>
      <c r="L120" s="6">
        <f t="shared" si="16"/>
        <v>920.72271999999998</v>
      </c>
      <c r="M120" s="6">
        <f t="shared" si="13"/>
        <v>11048.672640000001</v>
      </c>
      <c r="N120" s="6">
        <f t="shared" ref="N120:N154" si="18">J120+(19.62%*(J120)+I120)</f>
        <v>1363.916064</v>
      </c>
      <c r="O120" s="6">
        <f t="shared" si="17"/>
        <v>16366.992768</v>
      </c>
      <c r="R120" s="6"/>
      <c r="S120" s="2"/>
    </row>
    <row r="121" spans="1:19" x14ac:dyDescent="0.35">
      <c r="A121" s="4">
        <v>616</v>
      </c>
      <c r="B121" s="2">
        <v>46023</v>
      </c>
      <c r="D121" t="e">
        <f>VLOOKUP(C121,'Master Data'!$B$2:$G$155,6,0)</f>
        <v>#N/A</v>
      </c>
      <c r="E121" t="s">
        <v>28</v>
      </c>
      <c r="F121">
        <v>639.12</v>
      </c>
      <c r="G121" s="6">
        <v>26.843040000000002</v>
      </c>
      <c r="H121" s="6">
        <v>0</v>
      </c>
      <c r="I121" s="6">
        <v>102.26</v>
      </c>
      <c r="J121" s="6">
        <f t="shared" si="15"/>
        <v>665.96303999999998</v>
      </c>
      <c r="K121" s="6">
        <v>516.78731903999994</v>
      </c>
      <c r="L121" s="6">
        <f t="shared" si="16"/>
        <v>619.04731903999993</v>
      </c>
      <c r="M121" s="6">
        <f t="shared" si="13"/>
        <v>7428.5678284799997</v>
      </c>
      <c r="N121" s="6">
        <f t="shared" si="18"/>
        <v>898.88498844800006</v>
      </c>
      <c r="O121" s="6">
        <f t="shared" si="17"/>
        <v>10786.619861376001</v>
      </c>
      <c r="R121" s="6"/>
      <c r="S121" s="2"/>
    </row>
    <row r="122" spans="1:19" x14ac:dyDescent="0.35">
      <c r="A122" s="4">
        <v>680</v>
      </c>
      <c r="B122" s="2">
        <v>46023</v>
      </c>
      <c r="D122" t="e">
        <f>VLOOKUP(C122,'Master Data'!$B$2:$G$155,6,0)</f>
        <v>#N/A</v>
      </c>
      <c r="E122" t="s">
        <v>28</v>
      </c>
      <c r="F122">
        <v>639.12</v>
      </c>
      <c r="G122" s="6">
        <v>26.843040000000002</v>
      </c>
      <c r="H122" s="6">
        <v>69.08</v>
      </c>
      <c r="I122" s="6">
        <v>102.26</v>
      </c>
      <c r="J122" s="6">
        <f t="shared" si="15"/>
        <v>735.04304000000002</v>
      </c>
      <c r="K122" s="6">
        <v>570.39339904000008</v>
      </c>
      <c r="L122" s="6">
        <f t="shared" si="16"/>
        <v>672.65339904000007</v>
      </c>
      <c r="M122" s="6">
        <f t="shared" si="13"/>
        <v>8071.8407884800008</v>
      </c>
      <c r="N122" s="6">
        <f t="shared" si="18"/>
        <v>981.51848444799998</v>
      </c>
      <c r="O122" s="6">
        <f t="shared" si="17"/>
        <v>11778.221813376</v>
      </c>
      <c r="R122" s="6"/>
      <c r="S122" s="2"/>
    </row>
    <row r="123" spans="1:19" x14ac:dyDescent="0.35">
      <c r="A123" s="4">
        <v>250</v>
      </c>
      <c r="B123" s="2">
        <v>46023</v>
      </c>
      <c r="D123" t="e">
        <f>VLOOKUP(C123,'Master Data'!$B$2:$G$155,6,0)</f>
        <v>#N/A</v>
      </c>
      <c r="E123" t="s">
        <v>33</v>
      </c>
      <c r="F123">
        <v>690.25</v>
      </c>
      <c r="G123" s="6">
        <v>45.5565</v>
      </c>
      <c r="H123" s="6">
        <v>530.72</v>
      </c>
      <c r="I123" s="6">
        <v>102.26</v>
      </c>
      <c r="J123" s="6">
        <f t="shared" si="15"/>
        <v>1266.5264999999999</v>
      </c>
      <c r="K123" s="6">
        <v>982.82456400000001</v>
      </c>
      <c r="L123" s="6">
        <f t="shared" si="16"/>
        <v>1085.084564</v>
      </c>
      <c r="M123" s="6">
        <f t="shared" si="13"/>
        <v>13021.014768000001</v>
      </c>
      <c r="N123" s="6">
        <f t="shared" si="18"/>
        <v>1617.2789992999999</v>
      </c>
      <c r="O123" s="6">
        <f t="shared" si="17"/>
        <v>19407.3479916</v>
      </c>
      <c r="R123" s="6"/>
      <c r="S123" s="2"/>
    </row>
    <row r="124" spans="1:19" x14ac:dyDescent="0.35">
      <c r="A124" s="4">
        <v>11</v>
      </c>
      <c r="B124" s="2">
        <v>46023</v>
      </c>
      <c r="D124" t="e">
        <f>VLOOKUP(C124,'Master Data'!$B$2:$G$155,6,0)</f>
        <v>#N/A</v>
      </c>
      <c r="E124" t="s">
        <v>29</v>
      </c>
      <c r="F124">
        <v>741.38</v>
      </c>
      <c r="G124" s="6">
        <v>177.93119999999999</v>
      </c>
      <c r="H124" s="6">
        <v>80.400000000000006</v>
      </c>
      <c r="I124" s="6">
        <v>102.26</v>
      </c>
      <c r="J124" s="6">
        <f t="shared" si="15"/>
        <v>999.71119999999996</v>
      </c>
      <c r="K124" s="6">
        <v>775.77589120000005</v>
      </c>
      <c r="L124" s="6">
        <f t="shared" si="16"/>
        <v>878.03589120000004</v>
      </c>
      <c r="M124" s="6">
        <f t="shared" si="13"/>
        <v>10536.4306944</v>
      </c>
      <c r="N124" s="6">
        <f t="shared" si="18"/>
        <v>1298.11453744</v>
      </c>
      <c r="O124" s="6">
        <f t="shared" si="17"/>
        <v>15577.37444928</v>
      </c>
      <c r="R124" s="6"/>
      <c r="S124" s="2"/>
    </row>
    <row r="125" spans="1:19" x14ac:dyDescent="0.35">
      <c r="A125" s="4">
        <v>698</v>
      </c>
      <c r="B125" s="2">
        <v>46023</v>
      </c>
      <c r="D125" t="e">
        <f>VLOOKUP(C125,'Master Data'!$B$2:$G$155,6,0)</f>
        <v>#N/A</v>
      </c>
      <c r="E125" t="s">
        <v>41</v>
      </c>
      <c r="F125">
        <v>1845.77</v>
      </c>
      <c r="G125" s="6">
        <v>11.074619999999999</v>
      </c>
      <c r="H125" s="6">
        <v>621.73</v>
      </c>
      <c r="I125" s="6">
        <v>102.26</v>
      </c>
      <c r="J125" s="6">
        <f t="shared" si="15"/>
        <v>2478.5746200000003</v>
      </c>
      <c r="K125" s="6">
        <v>1968.82</v>
      </c>
      <c r="L125" s="6">
        <f t="shared" si="16"/>
        <v>2071.08</v>
      </c>
      <c r="M125" s="6">
        <f t="shared" si="13"/>
        <v>24852.959999999999</v>
      </c>
      <c r="N125" s="6">
        <f t="shared" si="18"/>
        <v>3067.1309604440003</v>
      </c>
      <c r="O125" s="6">
        <f t="shared" si="17"/>
        <v>36805.571525328007</v>
      </c>
      <c r="R125" s="6"/>
      <c r="S125" s="2"/>
    </row>
    <row r="126" spans="1:19" x14ac:dyDescent="0.35">
      <c r="A126" s="4">
        <v>83</v>
      </c>
      <c r="B126" s="2">
        <v>46023</v>
      </c>
      <c r="D126" t="e">
        <f>VLOOKUP(C126,'Master Data'!$B$2:$G$155,6,0)</f>
        <v>#N/A</v>
      </c>
      <c r="E126" t="s">
        <v>27</v>
      </c>
      <c r="F126">
        <v>986.8</v>
      </c>
      <c r="G126" s="6">
        <v>112.49520000000001</v>
      </c>
      <c r="H126" s="6">
        <v>252.33</v>
      </c>
      <c r="I126" s="6">
        <v>102.26</v>
      </c>
      <c r="J126" s="6">
        <f t="shared" si="15"/>
        <v>1351.6251999999999</v>
      </c>
      <c r="K126" s="6">
        <v>1048.8611552</v>
      </c>
      <c r="L126" s="6">
        <f t="shared" si="16"/>
        <v>1151.1211552</v>
      </c>
      <c r="M126" s="6">
        <f t="shared" si="13"/>
        <v>13813.4538624</v>
      </c>
      <c r="N126" s="6">
        <f t="shared" si="18"/>
        <v>1719.0740642399999</v>
      </c>
      <c r="O126" s="6">
        <f t="shared" si="17"/>
        <v>20628.888770879999</v>
      </c>
      <c r="R126" s="6"/>
      <c r="S126" s="2"/>
    </row>
    <row r="127" spans="1:19" x14ac:dyDescent="0.35">
      <c r="A127" s="4">
        <v>325</v>
      </c>
      <c r="B127" s="2">
        <v>46023</v>
      </c>
      <c r="D127" t="e">
        <f>VLOOKUP(C127,'Master Data'!$B$2:$G$155,6,0)</f>
        <v>#N/A</v>
      </c>
      <c r="E127" t="s">
        <v>48</v>
      </c>
      <c r="F127">
        <v>623.78</v>
      </c>
      <c r="G127" s="6">
        <v>37.4268</v>
      </c>
      <c r="H127" s="6">
        <v>1910.7</v>
      </c>
      <c r="I127" s="6">
        <v>102.26</v>
      </c>
      <c r="J127" s="6">
        <f t="shared" si="15"/>
        <v>2571.9067999999997</v>
      </c>
      <c r="K127" s="6">
        <v>2052.83</v>
      </c>
      <c r="L127" s="6">
        <f t="shared" si="16"/>
        <v>2155.09</v>
      </c>
      <c r="M127" s="6">
        <f t="shared" si="13"/>
        <v>25861.08</v>
      </c>
      <c r="N127" s="6">
        <f t="shared" si="18"/>
        <v>3178.7749141599998</v>
      </c>
      <c r="O127" s="6">
        <f t="shared" si="17"/>
        <v>38145.298969919997</v>
      </c>
      <c r="R127" s="6"/>
      <c r="S127" s="2"/>
    </row>
    <row r="128" spans="1:19" x14ac:dyDescent="0.35">
      <c r="A128" s="4">
        <v>706</v>
      </c>
      <c r="B128" s="2">
        <v>46023</v>
      </c>
      <c r="D128" t="e">
        <f>VLOOKUP(C128,'Master Data'!$B$2:$G$155,6,0)</f>
        <v>#N/A</v>
      </c>
      <c r="E128" t="s">
        <v>28</v>
      </c>
      <c r="F128">
        <v>639.12</v>
      </c>
      <c r="G128" s="6">
        <v>3.8347199999999999</v>
      </c>
      <c r="H128" s="6">
        <v>88.25</v>
      </c>
      <c r="I128" s="6">
        <v>102.26</v>
      </c>
      <c r="J128" s="6">
        <f t="shared" si="15"/>
        <v>731.20471999999995</v>
      </c>
      <c r="K128" s="6">
        <v>567.41486271999997</v>
      </c>
      <c r="L128" s="6">
        <f t="shared" si="16"/>
        <v>669.67486271999996</v>
      </c>
      <c r="M128" s="6">
        <f t="shared" si="13"/>
        <v>8036.0983526399996</v>
      </c>
      <c r="N128" s="6">
        <f t="shared" si="18"/>
        <v>976.92708606399992</v>
      </c>
      <c r="O128" s="6">
        <f t="shared" si="17"/>
        <v>11723.125032767999</v>
      </c>
      <c r="R128" s="6"/>
      <c r="S128" s="2"/>
    </row>
    <row r="129" spans="1:19" x14ac:dyDescent="0.35">
      <c r="A129" s="4">
        <v>685</v>
      </c>
      <c r="B129" s="2">
        <v>46023</v>
      </c>
      <c r="D129" t="e">
        <f>VLOOKUP(C129,'Master Data'!$B$2:$G$155,6,0)</f>
        <v>#N/A</v>
      </c>
      <c r="E129" t="s">
        <v>28</v>
      </c>
      <c r="F129">
        <v>736.27</v>
      </c>
      <c r="G129" s="6">
        <v>66.264300000000006</v>
      </c>
      <c r="H129" s="6">
        <v>260.76</v>
      </c>
      <c r="I129" s="6">
        <v>102.26</v>
      </c>
      <c r="J129" s="6">
        <f t="shared" si="15"/>
        <v>1063.2943</v>
      </c>
      <c r="K129" s="6">
        <v>825.11637680000001</v>
      </c>
      <c r="L129" s="6">
        <f t="shared" si="16"/>
        <v>927.3763768</v>
      </c>
      <c r="M129" s="6">
        <f t="shared" si="13"/>
        <v>11128.5165216</v>
      </c>
      <c r="N129" s="6">
        <f t="shared" si="18"/>
        <v>1374.17264166</v>
      </c>
      <c r="O129" s="6">
        <f t="shared" si="17"/>
        <v>16490.071699920001</v>
      </c>
      <c r="R129" s="6"/>
      <c r="S129" s="2"/>
    </row>
    <row r="130" spans="1:19" x14ac:dyDescent="0.35">
      <c r="A130" s="4">
        <v>755</v>
      </c>
      <c r="B130" s="2">
        <v>46023</v>
      </c>
      <c r="D130" t="e">
        <f>VLOOKUP(C130,'Master Data'!$B$2:$G$155,6,0)</f>
        <v>#N/A</v>
      </c>
      <c r="E130" t="s">
        <v>33</v>
      </c>
      <c r="F130">
        <v>750</v>
      </c>
      <c r="G130" s="6">
        <v>0</v>
      </c>
      <c r="H130" s="6">
        <v>255.18</v>
      </c>
      <c r="I130" s="6">
        <v>102.26</v>
      </c>
      <c r="J130" s="6">
        <f t="shared" ref="J130:J154" si="19">F130+G130+H130</f>
        <v>1005.1800000000001</v>
      </c>
      <c r="K130" s="6">
        <v>780.01968000000011</v>
      </c>
      <c r="L130" s="6">
        <f t="shared" ref="L130:L154" si="20">K130+I130</f>
        <v>882.2796800000001</v>
      </c>
      <c r="M130" s="6">
        <f t="shared" si="13"/>
        <v>10587.356160000001</v>
      </c>
      <c r="N130" s="6">
        <f t="shared" si="18"/>
        <v>1304.6563160000001</v>
      </c>
      <c r="O130" s="6">
        <f t="shared" ref="O130:O154" si="21">N130*12</f>
        <v>15655.875792000001</v>
      </c>
      <c r="R130" s="6"/>
      <c r="S130" s="2"/>
    </row>
    <row r="131" spans="1:19" x14ac:dyDescent="0.35">
      <c r="A131" s="4">
        <v>619</v>
      </c>
      <c r="B131" s="2">
        <v>46023</v>
      </c>
      <c r="D131" t="e">
        <f>VLOOKUP(C131,'Master Data'!$B$2:$G$155,6,0)</f>
        <v>#N/A</v>
      </c>
      <c r="E131" t="s">
        <v>29</v>
      </c>
      <c r="F131">
        <v>790.97</v>
      </c>
      <c r="G131" s="6">
        <v>75.933120000000002</v>
      </c>
      <c r="H131" s="6">
        <v>342.05</v>
      </c>
      <c r="I131" s="6">
        <v>102.26</v>
      </c>
      <c r="J131" s="6">
        <f t="shared" si="19"/>
        <v>1208.9531200000001</v>
      </c>
      <c r="K131" s="6">
        <v>938.14762112000017</v>
      </c>
      <c r="L131" s="6">
        <f t="shared" si="20"/>
        <v>1040.4076211200002</v>
      </c>
      <c r="M131" s="6">
        <f t="shared" ref="M131:M154" si="22">L131*12</f>
        <v>12484.891453440003</v>
      </c>
      <c r="N131" s="6">
        <f t="shared" si="18"/>
        <v>1548.4097221440002</v>
      </c>
      <c r="O131" s="6">
        <f t="shared" si="21"/>
        <v>18580.916665728</v>
      </c>
      <c r="R131" s="6"/>
      <c r="S131" s="2"/>
    </row>
    <row r="132" spans="1:19" x14ac:dyDescent="0.35">
      <c r="A132" s="4">
        <v>369</v>
      </c>
      <c r="B132" s="2">
        <v>46023</v>
      </c>
      <c r="D132" t="e">
        <f>VLOOKUP(C132,'Master Data'!$B$2:$G$155,6,0)</f>
        <v>#N/A</v>
      </c>
      <c r="E132" t="s">
        <v>44</v>
      </c>
      <c r="F132">
        <v>674.91</v>
      </c>
      <c r="G132" s="6">
        <v>36.445140000000002</v>
      </c>
      <c r="H132" s="6">
        <v>532.05999999999995</v>
      </c>
      <c r="I132" s="6">
        <v>102.26</v>
      </c>
      <c r="J132" s="6">
        <f t="shared" si="19"/>
        <v>1243.4151400000001</v>
      </c>
      <c r="K132" s="6">
        <v>964.89014864000012</v>
      </c>
      <c r="L132" s="6">
        <f t="shared" si="20"/>
        <v>1067.1501486400002</v>
      </c>
      <c r="M132" s="6">
        <f t="shared" si="22"/>
        <v>12805.801783680003</v>
      </c>
      <c r="N132" s="6">
        <f t="shared" si="18"/>
        <v>1589.6331904680001</v>
      </c>
      <c r="O132" s="6">
        <f t="shared" si="21"/>
        <v>19075.598285616001</v>
      </c>
      <c r="R132" s="6"/>
      <c r="S132" s="2"/>
    </row>
    <row r="133" spans="1:19" x14ac:dyDescent="0.35">
      <c r="A133" s="4">
        <v>9</v>
      </c>
      <c r="B133" s="2">
        <v>46023</v>
      </c>
      <c r="D133" t="e">
        <f>VLOOKUP(C133,'Master Data'!$B$2:$G$155,6,0)</f>
        <v>#N/A</v>
      </c>
      <c r="E133" t="s">
        <v>28</v>
      </c>
      <c r="F133">
        <v>639.12</v>
      </c>
      <c r="G133" s="6">
        <v>76.694400000000002</v>
      </c>
      <c r="H133" s="6">
        <v>88.25</v>
      </c>
      <c r="I133" s="6">
        <v>102.26</v>
      </c>
      <c r="J133" s="6">
        <f t="shared" si="19"/>
        <v>804.06439999999998</v>
      </c>
      <c r="K133" s="6">
        <v>623.95397439999999</v>
      </c>
      <c r="L133" s="6">
        <f t="shared" si="20"/>
        <v>726.21397439999998</v>
      </c>
      <c r="M133" s="6">
        <f t="shared" si="22"/>
        <v>8714.5676927999993</v>
      </c>
      <c r="N133" s="6">
        <f t="shared" si="18"/>
        <v>1064.08183528</v>
      </c>
      <c r="O133" s="6">
        <f t="shared" si="21"/>
        <v>12768.98202336</v>
      </c>
      <c r="R133" s="6"/>
      <c r="S133" s="2"/>
    </row>
    <row r="134" spans="1:19" x14ac:dyDescent="0.35">
      <c r="A134" s="4">
        <v>583</v>
      </c>
      <c r="B134" s="2">
        <v>46023</v>
      </c>
      <c r="D134">
        <v>1200</v>
      </c>
      <c r="E134" t="s">
        <v>27</v>
      </c>
      <c r="F134">
        <v>790.97</v>
      </c>
      <c r="G134" s="6">
        <v>14.23746</v>
      </c>
      <c r="H134" s="6">
        <v>254.11</v>
      </c>
      <c r="I134" s="6">
        <v>102.26</v>
      </c>
      <c r="J134" s="6">
        <f t="shared" si="19"/>
        <v>1059.3174600000002</v>
      </c>
      <c r="K134" s="6">
        <v>822.0303489600002</v>
      </c>
      <c r="L134" s="6">
        <f t="shared" si="20"/>
        <v>924.29034896000019</v>
      </c>
      <c r="M134" s="6">
        <f t="shared" si="22"/>
        <v>11091.484187520002</v>
      </c>
      <c r="N134" s="6">
        <f t="shared" si="18"/>
        <v>1369.4155456520002</v>
      </c>
      <c r="O134" s="6">
        <f t="shared" si="21"/>
        <v>16432.986547824003</v>
      </c>
      <c r="R134" s="6"/>
      <c r="S134" s="2"/>
    </row>
    <row r="135" spans="1:19" x14ac:dyDescent="0.35">
      <c r="A135" s="4">
        <v>743</v>
      </c>
      <c r="B135" s="2">
        <v>46023</v>
      </c>
      <c r="D135" t="e">
        <f>VLOOKUP(C135,'Master Data'!$B$2:$G$155,6,0)</f>
        <v>#N/A</v>
      </c>
      <c r="E135" t="s">
        <v>38</v>
      </c>
      <c r="F135">
        <v>1625.91</v>
      </c>
      <c r="G135" s="6">
        <v>9.7554600000000011</v>
      </c>
      <c r="H135" s="6">
        <v>530.21</v>
      </c>
      <c r="I135" s="6">
        <v>102.26</v>
      </c>
      <c r="J135" s="6">
        <f t="shared" si="19"/>
        <v>2165.8754600000002</v>
      </c>
      <c r="K135" s="6">
        <v>1687.4</v>
      </c>
      <c r="L135" s="6">
        <f t="shared" si="20"/>
        <v>1789.66</v>
      </c>
      <c r="M135" s="6">
        <f t="shared" si="22"/>
        <v>21475.920000000002</v>
      </c>
      <c r="N135" s="6">
        <f t="shared" si="18"/>
        <v>2693.0802252520002</v>
      </c>
      <c r="O135" s="6">
        <f t="shared" si="21"/>
        <v>32316.962703024001</v>
      </c>
      <c r="R135" s="6"/>
      <c r="S135" s="2"/>
    </row>
    <row r="136" spans="1:19" x14ac:dyDescent="0.35">
      <c r="A136" s="4">
        <v>507</v>
      </c>
      <c r="B136" s="2">
        <v>46023</v>
      </c>
      <c r="D136" t="e">
        <f>VLOOKUP(C136,'Master Data'!$B$2:$G$155,6,0)</f>
        <v>#N/A</v>
      </c>
      <c r="E136" t="s">
        <v>29</v>
      </c>
      <c r="F136">
        <v>790.97</v>
      </c>
      <c r="G136" s="6">
        <v>132.88296</v>
      </c>
      <c r="H136" s="6">
        <v>138.05000000000001</v>
      </c>
      <c r="I136" s="6">
        <v>102.26</v>
      </c>
      <c r="J136" s="6">
        <f t="shared" si="19"/>
        <v>1061.9029600000001</v>
      </c>
      <c r="K136" s="6">
        <v>824.03669696000009</v>
      </c>
      <c r="L136" s="6">
        <f t="shared" si="20"/>
        <v>926.29669696000008</v>
      </c>
      <c r="M136" s="6">
        <f t="shared" si="22"/>
        <v>11115.56036352</v>
      </c>
      <c r="N136" s="6">
        <f t="shared" si="18"/>
        <v>1372.5083207520001</v>
      </c>
      <c r="O136" s="6">
        <f t="shared" si="21"/>
        <v>16470.099849024002</v>
      </c>
      <c r="R136" s="6"/>
      <c r="S136" s="2"/>
    </row>
    <row r="137" spans="1:19" x14ac:dyDescent="0.35">
      <c r="A137" s="4">
        <v>607</v>
      </c>
      <c r="B137" s="2">
        <v>46023</v>
      </c>
      <c r="D137" t="e">
        <f>VLOOKUP(C137,'Master Data'!$B$2:$G$155,6,0)</f>
        <v>#N/A</v>
      </c>
      <c r="E137" t="s">
        <v>27</v>
      </c>
      <c r="F137">
        <v>674.91</v>
      </c>
      <c r="G137" s="6">
        <v>28.346219999999999</v>
      </c>
      <c r="H137" s="6">
        <v>598.95000000000005</v>
      </c>
      <c r="I137" s="6">
        <v>102.26</v>
      </c>
      <c r="J137" s="6">
        <f t="shared" si="19"/>
        <v>1302.20622</v>
      </c>
      <c r="K137" s="6">
        <v>1010.5120267200001</v>
      </c>
      <c r="L137" s="6">
        <f t="shared" si="20"/>
        <v>1112.7720267200002</v>
      </c>
      <c r="M137" s="6">
        <f t="shared" si="22"/>
        <v>13353.264320640003</v>
      </c>
      <c r="N137" s="6">
        <f t="shared" si="18"/>
        <v>1659.9590803640001</v>
      </c>
      <c r="O137" s="6">
        <f t="shared" si="21"/>
        <v>19919.508964368</v>
      </c>
      <c r="R137" s="6"/>
      <c r="S137" s="2"/>
    </row>
    <row r="138" spans="1:19" x14ac:dyDescent="0.35">
      <c r="A138" s="4">
        <v>431</v>
      </c>
      <c r="B138" s="2">
        <v>46023</v>
      </c>
      <c r="D138" t="e">
        <f>VLOOKUP(C138,'Master Data'!$B$2:$G$155,6,0)</f>
        <v>#N/A</v>
      </c>
      <c r="E138" t="s">
        <v>28</v>
      </c>
      <c r="F138">
        <v>639.12</v>
      </c>
      <c r="G138" s="6">
        <v>42.181919999999998</v>
      </c>
      <c r="H138" s="6">
        <v>76.75</v>
      </c>
      <c r="I138" s="6">
        <v>102.26</v>
      </c>
      <c r="J138" s="6">
        <f t="shared" si="19"/>
        <v>758.05192</v>
      </c>
      <c r="K138" s="6">
        <v>588.24828992000005</v>
      </c>
      <c r="L138" s="6">
        <f t="shared" si="20"/>
        <v>690.50828992000004</v>
      </c>
      <c r="M138" s="6">
        <f t="shared" si="22"/>
        <v>8286.09947904</v>
      </c>
      <c r="N138" s="6">
        <f t="shared" si="18"/>
        <v>1009.041706704</v>
      </c>
      <c r="O138" s="6">
        <f t="shared" si="21"/>
        <v>12108.500480448001</v>
      </c>
      <c r="R138" s="6"/>
      <c r="S138" s="2"/>
    </row>
    <row r="139" spans="1:19" x14ac:dyDescent="0.35">
      <c r="A139" s="4">
        <v>666</v>
      </c>
      <c r="B139" s="2">
        <v>46023</v>
      </c>
      <c r="D139" t="e">
        <f>VLOOKUP(C139,'Master Data'!$B$2:$G$155,6,0)</f>
        <v>#N/A</v>
      </c>
      <c r="E139" t="s">
        <v>28</v>
      </c>
      <c r="F139">
        <v>639.12</v>
      </c>
      <c r="G139" s="6">
        <v>103.53743999999999</v>
      </c>
      <c r="H139" s="6">
        <v>38.4</v>
      </c>
      <c r="I139" s="6">
        <v>102.26</v>
      </c>
      <c r="J139" s="6">
        <f t="shared" si="19"/>
        <v>781.05743999999993</v>
      </c>
      <c r="K139" s="6">
        <v>606.10057343999995</v>
      </c>
      <c r="L139" s="6">
        <f t="shared" si="20"/>
        <v>708.36057343999994</v>
      </c>
      <c r="M139" s="6">
        <f t="shared" si="22"/>
        <v>8500.3268812799997</v>
      </c>
      <c r="N139" s="6">
        <f t="shared" si="18"/>
        <v>1036.5609097279998</v>
      </c>
      <c r="O139" s="6">
        <f t="shared" si="21"/>
        <v>12438.730916735998</v>
      </c>
      <c r="R139" s="6"/>
      <c r="S139" s="2"/>
    </row>
    <row r="140" spans="1:19" x14ac:dyDescent="0.35">
      <c r="A140" s="4">
        <v>477</v>
      </c>
      <c r="B140" s="2">
        <v>46023</v>
      </c>
      <c r="D140" t="e">
        <f>VLOOKUP(C140,'Master Data'!$B$2:$G$155,6,0)</f>
        <v>#N/A</v>
      </c>
      <c r="E140" t="s">
        <v>28</v>
      </c>
      <c r="F140">
        <v>639.12</v>
      </c>
      <c r="G140" s="6">
        <v>46.016639999999995</v>
      </c>
      <c r="H140" s="6">
        <v>0</v>
      </c>
      <c r="I140" s="6">
        <v>102.26</v>
      </c>
      <c r="J140" s="6">
        <f t="shared" si="19"/>
        <v>685.13663999999994</v>
      </c>
      <c r="K140" s="6">
        <v>531.66603264000003</v>
      </c>
      <c r="L140" s="6">
        <f t="shared" si="20"/>
        <v>633.92603264000002</v>
      </c>
      <c r="M140" s="6">
        <f t="shared" si="22"/>
        <v>7607.1123916800007</v>
      </c>
      <c r="N140" s="6">
        <f t="shared" si="18"/>
        <v>921.82044876800001</v>
      </c>
      <c r="O140" s="6">
        <f t="shared" si="21"/>
        <v>11061.845385216</v>
      </c>
      <c r="R140" s="6"/>
      <c r="S140" s="2"/>
    </row>
    <row r="141" spans="1:19" x14ac:dyDescent="0.35">
      <c r="A141" s="4">
        <v>744</v>
      </c>
      <c r="B141" s="2">
        <v>46023</v>
      </c>
      <c r="D141" t="e">
        <f>VLOOKUP(C141,'Master Data'!$B$2:$G$155,6,0)</f>
        <v>#N/A</v>
      </c>
      <c r="E141" t="s">
        <v>28</v>
      </c>
      <c r="F141">
        <v>639.12</v>
      </c>
      <c r="G141" s="6">
        <v>0</v>
      </c>
      <c r="H141" s="6">
        <v>88.25</v>
      </c>
      <c r="I141" s="6">
        <v>102.26</v>
      </c>
      <c r="J141" s="6">
        <f t="shared" si="19"/>
        <v>727.37</v>
      </c>
      <c r="K141" s="6">
        <v>564.43912</v>
      </c>
      <c r="L141" s="6">
        <f t="shared" si="20"/>
        <v>666.69911999999999</v>
      </c>
      <c r="M141" s="6">
        <f t="shared" si="22"/>
        <v>8000.3894399999999</v>
      </c>
      <c r="N141" s="6">
        <f t="shared" si="18"/>
        <v>972.33999400000005</v>
      </c>
      <c r="O141" s="6">
        <f t="shared" si="21"/>
        <v>11668.079928000001</v>
      </c>
      <c r="R141" s="6"/>
      <c r="S141" s="2"/>
    </row>
    <row r="142" spans="1:19" x14ac:dyDescent="0.35">
      <c r="A142" s="4">
        <v>722</v>
      </c>
      <c r="B142" s="2">
        <v>46023</v>
      </c>
      <c r="D142" t="e">
        <f>VLOOKUP(C142,'Master Data'!$B$2:$G$155,6,0)</f>
        <v>#N/A</v>
      </c>
      <c r="E142" t="s">
        <v>38</v>
      </c>
      <c r="F142">
        <v>1186.2</v>
      </c>
      <c r="G142" s="6">
        <v>14.234400000000001</v>
      </c>
      <c r="H142" s="6">
        <v>381.42</v>
      </c>
      <c r="I142" s="6">
        <v>102.26</v>
      </c>
      <c r="J142" s="6">
        <f t="shared" si="19"/>
        <v>1581.8544000000002</v>
      </c>
      <c r="K142" s="6">
        <v>1227.5190144000001</v>
      </c>
      <c r="L142" s="6">
        <f t="shared" si="20"/>
        <v>1329.7790144000001</v>
      </c>
      <c r="M142" s="6">
        <f t="shared" si="22"/>
        <v>15957.348172800001</v>
      </c>
      <c r="N142" s="6">
        <f t="shared" si="18"/>
        <v>1994.4742332800001</v>
      </c>
      <c r="O142" s="6">
        <f t="shared" si="21"/>
        <v>23933.690799360003</v>
      </c>
      <c r="R142" s="6"/>
      <c r="S142" s="2"/>
    </row>
    <row r="143" spans="1:19" x14ac:dyDescent="0.35">
      <c r="A143" s="4">
        <v>358</v>
      </c>
      <c r="B143" s="2">
        <v>46023</v>
      </c>
      <c r="D143" t="e">
        <f>VLOOKUP(C143,'Master Data'!$B$2:$G$155,6,0)</f>
        <v>#N/A</v>
      </c>
      <c r="E143" t="s">
        <v>28</v>
      </c>
      <c r="F143">
        <v>639.12</v>
      </c>
      <c r="G143" s="6">
        <v>34.512480000000004</v>
      </c>
      <c r="H143" s="6">
        <v>184.5</v>
      </c>
      <c r="I143" s="6">
        <v>102.26</v>
      </c>
      <c r="J143" s="6">
        <f t="shared" si="19"/>
        <v>858.13247999999999</v>
      </c>
      <c r="K143" s="6">
        <v>665.91080448000002</v>
      </c>
      <c r="L143" s="6">
        <f t="shared" si="20"/>
        <v>768.17080448000002</v>
      </c>
      <c r="M143" s="6">
        <f t="shared" si="22"/>
        <v>9218.0496537600011</v>
      </c>
      <c r="N143" s="6">
        <f t="shared" si="18"/>
        <v>1128.7580725759999</v>
      </c>
      <c r="O143" s="6">
        <f t="shared" si="21"/>
        <v>13545.096870911999</v>
      </c>
      <c r="R143" s="6"/>
      <c r="S143" s="2"/>
    </row>
    <row r="144" spans="1:19" x14ac:dyDescent="0.35">
      <c r="A144" s="4">
        <v>725</v>
      </c>
      <c r="B144" s="2">
        <v>46023</v>
      </c>
      <c r="D144" t="e">
        <f>VLOOKUP(C144,'Master Data'!$B$2:$G$155,6,0)</f>
        <v>#N/A</v>
      </c>
      <c r="E144" t="s">
        <v>43</v>
      </c>
      <c r="F144">
        <v>741.38</v>
      </c>
      <c r="G144" s="6">
        <v>0</v>
      </c>
      <c r="H144" s="6">
        <v>378.87</v>
      </c>
      <c r="I144" s="6">
        <v>102.26</v>
      </c>
      <c r="J144" s="6">
        <f t="shared" si="19"/>
        <v>1120.25</v>
      </c>
      <c r="K144" s="6">
        <v>869.31400000000008</v>
      </c>
      <c r="L144" s="6">
        <f t="shared" si="20"/>
        <v>971.57400000000007</v>
      </c>
      <c r="M144" s="6">
        <f t="shared" si="22"/>
        <v>11658.888000000001</v>
      </c>
      <c r="N144" s="6">
        <f t="shared" si="18"/>
        <v>1442.30305</v>
      </c>
      <c r="O144" s="6">
        <f t="shared" si="21"/>
        <v>17307.636599999998</v>
      </c>
      <c r="R144" s="6"/>
      <c r="S144" s="2"/>
    </row>
    <row r="145" spans="1:19" x14ac:dyDescent="0.35">
      <c r="A145" s="4">
        <v>71</v>
      </c>
      <c r="B145" s="2">
        <v>46023</v>
      </c>
      <c r="D145" t="e">
        <f>VLOOKUP(C145,'Master Data'!$B$2:$G$155,6,0)</f>
        <v>#N/A</v>
      </c>
      <c r="E145" t="s">
        <v>29</v>
      </c>
      <c r="F145">
        <v>1380.49</v>
      </c>
      <c r="G145" s="6">
        <v>115.96116000000001</v>
      </c>
      <c r="H145" s="6">
        <v>489.31</v>
      </c>
      <c r="I145" s="6">
        <v>102.26</v>
      </c>
      <c r="J145" s="6">
        <f t="shared" si="19"/>
        <v>1985.76116</v>
      </c>
      <c r="K145" s="6">
        <v>1540.9506601600001</v>
      </c>
      <c r="L145" s="6">
        <f t="shared" si="20"/>
        <v>1643.2106601600001</v>
      </c>
      <c r="M145" s="6">
        <f t="shared" si="22"/>
        <v>19718.527921920002</v>
      </c>
      <c r="N145" s="6">
        <f t="shared" si="18"/>
        <v>2477.6274995920003</v>
      </c>
      <c r="O145" s="6">
        <f t="shared" si="21"/>
        <v>29731.529995104003</v>
      </c>
      <c r="R145" s="6"/>
      <c r="S145" s="2"/>
    </row>
    <row r="146" spans="1:19" x14ac:dyDescent="0.35">
      <c r="A146" s="4">
        <v>724</v>
      </c>
      <c r="B146" s="2">
        <v>46023</v>
      </c>
      <c r="D146" t="e">
        <f>VLOOKUP(C146,'Master Data'!$B$2:$G$155,6,0)</f>
        <v>#N/A</v>
      </c>
      <c r="E146" t="s">
        <v>29</v>
      </c>
      <c r="F146">
        <v>889.65</v>
      </c>
      <c r="G146" s="6">
        <v>16.0137</v>
      </c>
      <c r="H146" s="6">
        <v>286.32</v>
      </c>
      <c r="I146" s="6">
        <v>102.26</v>
      </c>
      <c r="J146" s="6">
        <f t="shared" si="19"/>
        <v>1191.9837</v>
      </c>
      <c r="K146" s="6">
        <v>924.9793512</v>
      </c>
      <c r="L146" s="6">
        <f t="shared" si="20"/>
        <v>1027.2393512000001</v>
      </c>
      <c r="M146" s="6">
        <f t="shared" si="22"/>
        <v>12326.872214400002</v>
      </c>
      <c r="N146" s="6">
        <f t="shared" si="18"/>
        <v>1528.1109019400001</v>
      </c>
      <c r="O146" s="6">
        <f t="shared" si="21"/>
        <v>18337.330823280001</v>
      </c>
      <c r="R146" s="6"/>
      <c r="S146" s="2"/>
    </row>
    <row r="147" spans="1:19" x14ac:dyDescent="0.35">
      <c r="A147" s="4">
        <v>717</v>
      </c>
      <c r="B147" s="2">
        <v>46023</v>
      </c>
      <c r="D147" t="e">
        <f>VLOOKUP(C147,'Master Data'!$B$2:$G$155,6,0)</f>
        <v>#N/A</v>
      </c>
      <c r="E147" t="s">
        <v>46</v>
      </c>
      <c r="F147">
        <v>838.52</v>
      </c>
      <c r="G147" s="6">
        <v>5.0311199999999996</v>
      </c>
      <c r="H147" s="6">
        <v>743.77</v>
      </c>
      <c r="I147" s="6">
        <v>102.26</v>
      </c>
      <c r="J147" s="6">
        <f t="shared" si="19"/>
        <v>1587.3211200000001</v>
      </c>
      <c r="K147" s="6">
        <v>1231.7611891200002</v>
      </c>
      <c r="L147" s="6">
        <f t="shared" si="20"/>
        <v>1334.0211891200001</v>
      </c>
      <c r="M147" s="6">
        <f t="shared" si="22"/>
        <v>16008.254269440002</v>
      </c>
      <c r="N147" s="6">
        <f t="shared" si="18"/>
        <v>2001.0135237440002</v>
      </c>
      <c r="O147" s="6">
        <f t="shared" si="21"/>
        <v>24012.162284928003</v>
      </c>
      <c r="R147" s="6"/>
      <c r="S147" s="2"/>
    </row>
    <row r="148" spans="1:19" x14ac:dyDescent="0.35">
      <c r="A148" s="4">
        <v>732</v>
      </c>
      <c r="B148" s="2">
        <v>46023</v>
      </c>
      <c r="D148" t="e">
        <f>VLOOKUP(C148,'Master Data'!B148:G301,6,0)</f>
        <v>#N/A</v>
      </c>
      <c r="E148" t="s">
        <v>28</v>
      </c>
      <c r="F148">
        <v>690.25</v>
      </c>
      <c r="G148" s="6">
        <v>0</v>
      </c>
      <c r="H148" s="6">
        <v>232.64</v>
      </c>
      <c r="I148" s="6">
        <v>102.26</v>
      </c>
      <c r="J148" s="6">
        <f t="shared" si="19"/>
        <v>922.89</v>
      </c>
      <c r="K148" s="6">
        <v>716.16264000000001</v>
      </c>
      <c r="L148" s="6">
        <f t="shared" si="20"/>
        <v>818.42264</v>
      </c>
      <c r="M148" s="6">
        <f t="shared" si="22"/>
        <v>9821.0716800000009</v>
      </c>
      <c r="N148" s="6">
        <f t="shared" si="18"/>
        <v>1206.221018</v>
      </c>
      <c r="O148" s="6">
        <f t="shared" si="21"/>
        <v>14474.652215999999</v>
      </c>
      <c r="R148" s="6"/>
      <c r="S148" s="2"/>
    </row>
    <row r="149" spans="1:19" x14ac:dyDescent="0.35">
      <c r="A149" s="4">
        <v>345</v>
      </c>
      <c r="B149" s="2">
        <v>46023</v>
      </c>
      <c r="D149" t="e">
        <f>VLOOKUP(C149,'Master Data'!B149:G302,6,0)</f>
        <v>#N/A</v>
      </c>
      <c r="E149" t="s">
        <v>28</v>
      </c>
      <c r="F149">
        <v>948.45</v>
      </c>
      <c r="G149" s="6">
        <v>56.907000000000011</v>
      </c>
      <c r="H149" s="6">
        <v>654.45000000000005</v>
      </c>
      <c r="I149" s="6">
        <v>102.26</v>
      </c>
      <c r="J149" s="6">
        <f t="shared" si="19"/>
        <v>1659.8070000000002</v>
      </c>
      <c r="K149" s="6">
        <v>1288.0102320000003</v>
      </c>
      <c r="L149" s="6">
        <f t="shared" si="20"/>
        <v>1390.2702320000003</v>
      </c>
      <c r="M149" s="6">
        <f t="shared" si="22"/>
        <v>16683.242784000002</v>
      </c>
      <c r="N149" s="6">
        <f t="shared" si="18"/>
        <v>2087.7211334000003</v>
      </c>
      <c r="O149" s="6">
        <f t="shared" si="21"/>
        <v>25052.653600800004</v>
      </c>
      <c r="R149" s="6"/>
      <c r="S149" s="2"/>
    </row>
    <row r="150" spans="1:19" x14ac:dyDescent="0.35">
      <c r="A150" s="4">
        <v>678</v>
      </c>
      <c r="B150" s="2">
        <v>46023</v>
      </c>
      <c r="D150" t="e">
        <f>VLOOKUP(C150,'Master Data'!B150:G303,6,0)</f>
        <v>#N/A</v>
      </c>
      <c r="E150" t="s">
        <v>49</v>
      </c>
      <c r="F150">
        <v>988.33</v>
      </c>
      <c r="G150" s="6">
        <v>11.859960000000001</v>
      </c>
      <c r="H150" s="6">
        <v>329.78</v>
      </c>
      <c r="I150" s="6">
        <v>102.26</v>
      </c>
      <c r="J150" s="6">
        <f t="shared" si="19"/>
        <v>1329.9699599999999</v>
      </c>
      <c r="K150" s="6">
        <v>1032.05668896</v>
      </c>
      <c r="L150" s="6">
        <f t="shared" si="20"/>
        <v>1134.31668896</v>
      </c>
      <c r="M150" s="6">
        <f t="shared" si="22"/>
        <v>13611.80026752</v>
      </c>
      <c r="N150" s="6">
        <f t="shared" si="18"/>
        <v>1693.1700661519999</v>
      </c>
      <c r="O150" s="6">
        <f t="shared" si="21"/>
        <v>20318.040793823999</v>
      </c>
      <c r="R150" s="6"/>
      <c r="S150" s="2"/>
    </row>
    <row r="151" spans="1:19" x14ac:dyDescent="0.35">
      <c r="A151" s="4">
        <v>656</v>
      </c>
      <c r="B151" s="2">
        <v>46023</v>
      </c>
      <c r="D151" t="e">
        <f>VLOOKUP(C151,'Master Data'!B151:G304,6,0)</f>
        <v>#N/A</v>
      </c>
      <c r="E151" t="s">
        <v>42</v>
      </c>
      <c r="F151">
        <v>986.8</v>
      </c>
      <c r="G151" s="6">
        <v>5.920799999999999</v>
      </c>
      <c r="H151" s="6">
        <v>463.23</v>
      </c>
      <c r="I151" s="6">
        <v>102.26</v>
      </c>
      <c r="J151" s="6">
        <f t="shared" si="19"/>
        <v>1455.9508000000001</v>
      </c>
      <c r="K151" s="6">
        <v>1129.8178208000002</v>
      </c>
      <c r="L151" s="6">
        <f t="shared" si="20"/>
        <v>1232.0778208000002</v>
      </c>
      <c r="M151" s="6">
        <f t="shared" si="22"/>
        <v>14784.933849600002</v>
      </c>
      <c r="N151" s="6">
        <f t="shared" si="18"/>
        <v>1843.8683469600001</v>
      </c>
      <c r="O151" s="6">
        <f t="shared" si="21"/>
        <v>22126.420163520001</v>
      </c>
      <c r="R151" s="6"/>
      <c r="S151" s="2"/>
    </row>
    <row r="152" spans="1:19" x14ac:dyDescent="0.35">
      <c r="A152" s="4">
        <v>15</v>
      </c>
      <c r="B152" s="2">
        <v>46023</v>
      </c>
      <c r="D152" t="e">
        <f>VLOOKUP(C152,'Master Data'!B152:G305,6,0)</f>
        <v>#N/A</v>
      </c>
      <c r="E152" t="s">
        <v>43</v>
      </c>
      <c r="F152">
        <v>715.81</v>
      </c>
      <c r="G152" s="6">
        <v>146.02523999999997</v>
      </c>
      <c r="H152" s="6">
        <v>386.03</v>
      </c>
      <c r="I152" s="6">
        <v>102.26</v>
      </c>
      <c r="J152" s="6">
        <f t="shared" si="19"/>
        <v>1247.8652399999999</v>
      </c>
      <c r="K152" s="6">
        <v>968.34342623999987</v>
      </c>
      <c r="L152" s="6">
        <f t="shared" si="20"/>
        <v>1070.6034262399999</v>
      </c>
      <c r="M152" s="6">
        <f t="shared" si="22"/>
        <v>12847.241114879998</v>
      </c>
      <c r="N152" s="6">
        <f t="shared" si="18"/>
        <v>1594.9564000879998</v>
      </c>
      <c r="O152" s="6">
        <f t="shared" si="21"/>
        <v>19139.476801055996</v>
      </c>
      <c r="R152" s="6"/>
      <c r="S152" s="2"/>
    </row>
    <row r="153" spans="1:19" x14ac:dyDescent="0.35">
      <c r="A153" s="4">
        <v>515</v>
      </c>
      <c r="B153" s="2">
        <v>46023</v>
      </c>
      <c r="D153" t="e">
        <f>VLOOKUP(C153,'Master Data'!B153:G306,6,0)</f>
        <v>#N/A</v>
      </c>
      <c r="E153" t="s">
        <v>28</v>
      </c>
      <c r="F153">
        <v>639.12</v>
      </c>
      <c r="G153" s="6">
        <v>34.512480000000004</v>
      </c>
      <c r="H153" s="6">
        <v>173</v>
      </c>
      <c r="I153" s="6">
        <v>102.26</v>
      </c>
      <c r="J153" s="6">
        <f t="shared" si="19"/>
        <v>846.63247999999999</v>
      </c>
      <c r="K153" s="6">
        <v>656.98680448000005</v>
      </c>
      <c r="L153" s="6">
        <f t="shared" si="20"/>
        <v>759.24680448000004</v>
      </c>
      <c r="M153" s="6">
        <f t="shared" si="22"/>
        <v>9110.9616537600014</v>
      </c>
      <c r="N153" s="6">
        <f t="shared" si="18"/>
        <v>1115.0017725759999</v>
      </c>
      <c r="O153" s="6">
        <f t="shared" si="21"/>
        <v>13380.021270911999</v>
      </c>
      <c r="R153" s="6"/>
      <c r="S153" s="2"/>
    </row>
    <row r="154" spans="1:19" x14ac:dyDescent="0.35">
      <c r="A154" s="4">
        <v>12</v>
      </c>
      <c r="B154" s="2">
        <v>46023</v>
      </c>
      <c r="D154" t="e">
        <f>VLOOKUP(C154,'Master Data'!B154:G307,6,0)</f>
        <v>#N/A</v>
      </c>
      <c r="E154" t="s">
        <v>49</v>
      </c>
      <c r="F154">
        <v>810.4</v>
      </c>
      <c r="G154" s="6">
        <v>131.28479999999999</v>
      </c>
      <c r="H154" s="6">
        <v>872.78</v>
      </c>
      <c r="I154" s="6">
        <v>102.26</v>
      </c>
      <c r="J154" s="6">
        <f t="shared" si="19"/>
        <v>1814.4648</v>
      </c>
      <c r="K154" s="6">
        <v>1408.0246847999999</v>
      </c>
      <c r="L154" s="6">
        <f t="shared" si="20"/>
        <v>1510.2846847999999</v>
      </c>
      <c r="M154" s="6">
        <f t="shared" si="22"/>
        <v>18123.416217599999</v>
      </c>
      <c r="N154" s="6">
        <f t="shared" si="18"/>
        <v>2272.7227937600001</v>
      </c>
      <c r="O154" s="6">
        <f t="shared" si="21"/>
        <v>27272.673525120001</v>
      </c>
      <c r="R154" s="6"/>
      <c r="S154" s="2"/>
    </row>
    <row r="155" spans="1:19" x14ac:dyDescent="0.35">
      <c r="S155" s="2"/>
    </row>
    <row r="156" spans="1:19" x14ac:dyDescent="0.35">
      <c r="S156" s="2"/>
    </row>
  </sheetData>
  <autoFilter ref="A1:T154" xr:uid="{00000000-0001-0000-0100-000000000000}">
    <sortState xmlns:xlrd2="http://schemas.microsoft.com/office/spreadsheetml/2017/richdata2" ref="A2:T154">
      <sortCondition ref="C1:C154"/>
    </sortState>
  </autoFilter>
  <dataValidations count="1">
    <dataValidation type="list" allowBlank="1" showInputMessage="1" showErrorMessage="1" sqref="Q2:Q154" xr:uid="{235984FF-22D1-4129-968D-10911732B443}">
      <formula1>"добро представяне, повишение в позиция, индексация на инфлация, пазарна корекция, нови умения, нови задължения"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"/>
  <sheetViews>
    <sheetView workbookViewId="0">
      <selection activeCell="E2" sqref="E2:E27"/>
    </sheetView>
  </sheetViews>
  <sheetFormatPr defaultRowHeight="14.5" x14ac:dyDescent="0.35"/>
  <cols>
    <col min="2" max="2" width="38.7265625" customWidth="1"/>
    <col min="3" max="3" width="11" customWidth="1"/>
    <col min="4" max="4" width="18.1796875" customWidth="1"/>
    <col min="5" max="5" width="18.81640625" customWidth="1"/>
    <col min="6" max="6" width="19.26953125" customWidth="1"/>
    <col min="7" max="8" width="12.81640625" customWidth="1"/>
  </cols>
  <sheetData>
    <row r="1" spans="1:8" ht="42" customHeight="1" x14ac:dyDescent="0.35">
      <c r="A1" s="7" t="s">
        <v>15</v>
      </c>
      <c r="B1" s="7" t="s">
        <v>2</v>
      </c>
      <c r="C1" s="9" t="s">
        <v>6</v>
      </c>
      <c r="D1" s="7" t="s">
        <v>137</v>
      </c>
      <c r="E1" s="7" t="s">
        <v>141</v>
      </c>
      <c r="F1" s="7" t="s">
        <v>142</v>
      </c>
      <c r="G1" s="7" t="s">
        <v>17</v>
      </c>
      <c r="H1" s="7" t="s">
        <v>18</v>
      </c>
    </row>
    <row r="2" spans="1:8" x14ac:dyDescent="0.35">
      <c r="A2">
        <v>2</v>
      </c>
      <c r="B2" s="3" t="s">
        <v>35</v>
      </c>
      <c r="C2" s="3">
        <v>2200</v>
      </c>
      <c r="D2" s="6">
        <v>105824.13391487999</v>
      </c>
      <c r="E2" s="6">
        <f>D2/12</f>
        <v>8818.6778262399985</v>
      </c>
      <c r="F2" s="6">
        <v>8517.6</v>
      </c>
      <c r="G2" s="6">
        <f>F2-E2</f>
        <v>-301.0778262399981</v>
      </c>
      <c r="H2" s="8">
        <f>(F2-E2)/E2</f>
        <v>-3.4140925904350451E-2</v>
      </c>
    </row>
    <row r="3" spans="1:8" x14ac:dyDescent="0.35">
      <c r="A3">
        <v>2</v>
      </c>
      <c r="B3" s="3" t="s">
        <v>48</v>
      </c>
      <c r="C3" s="3">
        <v>2400</v>
      </c>
      <c r="D3" s="6">
        <v>53116.320000000007</v>
      </c>
      <c r="E3" s="6">
        <f t="shared" ref="E3:E27" si="0">D3/12</f>
        <v>4426.3600000000006</v>
      </c>
      <c r="F3" s="6">
        <v>4426.3600000000006</v>
      </c>
      <c r="G3" s="6">
        <f t="shared" ref="G3:G27" si="1">F3-E3</f>
        <v>0</v>
      </c>
      <c r="H3" s="8">
        <f t="shared" ref="H3:H27" si="2">(F3-E3)/E3</f>
        <v>0</v>
      </c>
    </row>
    <row r="4" spans="1:8" x14ac:dyDescent="0.35">
      <c r="A4">
        <v>2</v>
      </c>
      <c r="B4" s="3" t="s">
        <v>47</v>
      </c>
      <c r="C4" s="3">
        <v>2410</v>
      </c>
      <c r="D4" s="6">
        <v>37014.890292480006</v>
      </c>
      <c r="E4" s="6">
        <f t="shared" si="0"/>
        <v>3084.5741910400006</v>
      </c>
      <c r="F4" s="6">
        <v>2939.06</v>
      </c>
      <c r="G4" s="6">
        <f t="shared" si="1"/>
        <v>-145.5141910400007</v>
      </c>
      <c r="H4" s="8">
        <f t="shared" si="2"/>
        <v>-4.7174806643551302E-2</v>
      </c>
    </row>
    <row r="5" spans="1:8" x14ac:dyDescent="0.35">
      <c r="A5">
        <v>2</v>
      </c>
      <c r="B5" s="3" t="s">
        <v>26</v>
      </c>
      <c r="C5" s="3">
        <v>1400</v>
      </c>
      <c r="D5" s="6">
        <v>64517.725399680006</v>
      </c>
      <c r="E5" s="6">
        <f t="shared" si="0"/>
        <v>5376.4771166400005</v>
      </c>
      <c r="F5" s="6">
        <v>5783.46</v>
      </c>
      <c r="G5" s="6">
        <f t="shared" si="1"/>
        <v>406.98288335999951</v>
      </c>
      <c r="H5" s="8">
        <f t="shared" si="2"/>
        <v>7.5696943282879847E-2</v>
      </c>
    </row>
    <row r="6" spans="1:8" x14ac:dyDescent="0.35">
      <c r="A6">
        <v>2</v>
      </c>
      <c r="B6" s="3" t="s">
        <v>44</v>
      </c>
      <c r="C6" s="3">
        <v>1100</v>
      </c>
      <c r="D6" s="6">
        <v>24990.105601920004</v>
      </c>
      <c r="E6" s="6">
        <f t="shared" si="0"/>
        <v>2082.5088001600002</v>
      </c>
      <c r="F6" s="6">
        <v>2096.8900000000003</v>
      </c>
      <c r="G6" s="6">
        <f t="shared" si="1"/>
        <v>14.381199840000136</v>
      </c>
      <c r="H6" s="8">
        <f t="shared" si="2"/>
        <v>6.9057090365693633E-3</v>
      </c>
    </row>
    <row r="7" spans="1:8" x14ac:dyDescent="0.35">
      <c r="A7">
        <v>2</v>
      </c>
      <c r="B7" s="3" t="s">
        <v>32</v>
      </c>
      <c r="C7" s="3">
        <v>2100</v>
      </c>
      <c r="D7" s="6">
        <v>171774.52518336001</v>
      </c>
      <c r="E7" s="6">
        <f t="shared" si="0"/>
        <v>14314.543765280001</v>
      </c>
      <c r="F7" s="6">
        <v>14328.720000000001</v>
      </c>
      <c r="G7" s="6">
        <f t="shared" si="1"/>
        <v>14.176234720000139</v>
      </c>
      <c r="H7" s="8">
        <f t="shared" si="2"/>
        <v>9.903378656317826E-4</v>
      </c>
    </row>
    <row r="8" spans="1:8" x14ac:dyDescent="0.35">
      <c r="A8">
        <v>2</v>
      </c>
      <c r="B8" s="3" t="s">
        <v>30</v>
      </c>
      <c r="C8" s="3">
        <v>4400</v>
      </c>
      <c r="D8" s="6">
        <v>27839.854913280004</v>
      </c>
      <c r="E8" s="6">
        <f t="shared" si="0"/>
        <v>2319.9879094400003</v>
      </c>
      <c r="F8" s="6">
        <v>2301.5699999999997</v>
      </c>
      <c r="G8" s="6">
        <f t="shared" si="1"/>
        <v>-18.417909440000585</v>
      </c>
      <c r="H8" s="8">
        <f t="shared" si="2"/>
        <v>-7.9387954415875844E-3</v>
      </c>
    </row>
    <row r="9" spans="1:8" x14ac:dyDescent="0.35">
      <c r="A9">
        <v>2</v>
      </c>
      <c r="B9" s="3" t="s">
        <v>29</v>
      </c>
      <c r="C9" s="3">
        <v>1300</v>
      </c>
      <c r="D9" s="6">
        <v>251728.88801088009</v>
      </c>
      <c r="E9" s="6">
        <f t="shared" si="0"/>
        <v>20977.407334240008</v>
      </c>
      <c r="F9" s="6">
        <v>20344.11</v>
      </c>
      <c r="G9" s="6">
        <f t="shared" si="1"/>
        <v>-633.29733424000733</v>
      </c>
      <c r="H9" s="8">
        <f t="shared" si="2"/>
        <v>-3.0189495019545088E-2</v>
      </c>
    </row>
    <row r="10" spans="1:8" x14ac:dyDescent="0.35">
      <c r="A10">
        <v>2</v>
      </c>
      <c r="B10" s="3" t="s">
        <v>28</v>
      </c>
      <c r="C10" s="3">
        <v>1600</v>
      </c>
      <c r="D10" s="6">
        <v>397737.89638848003</v>
      </c>
      <c r="E10" s="6">
        <f t="shared" si="0"/>
        <v>33144.82469904</v>
      </c>
      <c r="F10" s="6">
        <v>36614.5</v>
      </c>
      <c r="G10" s="6">
        <f t="shared" si="1"/>
        <v>3469.6753009599997</v>
      </c>
      <c r="H10" s="8">
        <f t="shared" si="2"/>
        <v>0.10468226434941726</v>
      </c>
    </row>
    <row r="11" spans="1:8" x14ac:dyDescent="0.35">
      <c r="A11">
        <v>2</v>
      </c>
      <c r="B11" s="3" t="s">
        <v>49</v>
      </c>
      <c r="C11" s="3">
        <v>5600</v>
      </c>
      <c r="D11" s="6">
        <v>31735.21648512</v>
      </c>
      <c r="E11" s="6">
        <f t="shared" si="0"/>
        <v>2644.6013737600001</v>
      </c>
      <c r="F11" s="6">
        <v>2629.77</v>
      </c>
      <c r="G11" s="6">
        <f t="shared" si="1"/>
        <v>-14.831373760000133</v>
      </c>
      <c r="H11" s="8">
        <f t="shared" si="2"/>
        <v>-5.6081698766243223E-3</v>
      </c>
    </row>
    <row r="12" spans="1:8" x14ac:dyDescent="0.35">
      <c r="A12">
        <v>2</v>
      </c>
      <c r="B12" s="3" t="s">
        <v>37</v>
      </c>
      <c r="C12" s="3">
        <v>3500</v>
      </c>
      <c r="D12" s="6">
        <v>64653.32599872</v>
      </c>
      <c r="E12" s="6">
        <f t="shared" si="0"/>
        <v>5387.7771665600003</v>
      </c>
      <c r="F12" s="6">
        <v>4579.54</v>
      </c>
      <c r="G12" s="6">
        <f t="shared" si="1"/>
        <v>-808.23716656000033</v>
      </c>
      <c r="H12" s="8">
        <f t="shared" si="2"/>
        <v>-0.15001310217067595</v>
      </c>
    </row>
    <row r="13" spans="1:8" x14ac:dyDescent="0.35">
      <c r="A13">
        <v>2</v>
      </c>
      <c r="B13" s="3" t="s">
        <v>34</v>
      </c>
      <c r="C13" s="3">
        <v>6410</v>
      </c>
      <c r="D13" s="6">
        <v>29012.564054399994</v>
      </c>
      <c r="E13" s="6">
        <f t="shared" si="0"/>
        <v>2417.7136711999997</v>
      </c>
      <c r="F13" s="6">
        <v>2417.66</v>
      </c>
      <c r="G13" s="6">
        <f t="shared" si="1"/>
        <v>-5.3671199999826058E-2</v>
      </c>
      <c r="H13" s="8">
        <f t="shared" si="2"/>
        <v>-2.2199154779642322E-5</v>
      </c>
    </row>
    <row r="14" spans="1:8" x14ac:dyDescent="0.35">
      <c r="A14">
        <v>2</v>
      </c>
      <c r="B14" s="3" t="s">
        <v>46</v>
      </c>
      <c r="C14" s="3">
        <v>3110</v>
      </c>
      <c r="D14" s="6">
        <v>38250.3264672</v>
      </c>
      <c r="E14" s="6">
        <f t="shared" si="0"/>
        <v>3187.5272055999999</v>
      </c>
      <c r="F14" s="6">
        <v>2622.2</v>
      </c>
      <c r="G14" s="6">
        <f t="shared" si="1"/>
        <v>-565.32720560000007</v>
      </c>
      <c r="H14" s="8">
        <f t="shared" si="2"/>
        <v>-0.17735604094823293</v>
      </c>
    </row>
    <row r="15" spans="1:8" x14ac:dyDescent="0.35">
      <c r="A15">
        <v>2</v>
      </c>
      <c r="B15" s="3" t="s">
        <v>27</v>
      </c>
      <c r="C15" s="3">
        <v>1200</v>
      </c>
      <c r="D15" s="6">
        <v>158063.06768064</v>
      </c>
      <c r="E15" s="6">
        <f t="shared" si="0"/>
        <v>13171.92230672</v>
      </c>
      <c r="F15" s="6">
        <v>12729.449999999997</v>
      </c>
      <c r="G15" s="6">
        <f t="shared" si="1"/>
        <v>-442.47230672000296</v>
      </c>
      <c r="H15" s="8">
        <f t="shared" si="2"/>
        <v>-3.3592082948611393E-2</v>
      </c>
    </row>
    <row r="16" spans="1:8" x14ac:dyDescent="0.35">
      <c r="A16">
        <v>2</v>
      </c>
      <c r="B16" s="3" t="s">
        <v>42</v>
      </c>
      <c r="C16" s="3">
        <v>1000</v>
      </c>
      <c r="D16" s="6">
        <v>79598.373849600015</v>
      </c>
      <c r="E16" s="6">
        <f t="shared" si="0"/>
        <v>6633.197820800001</v>
      </c>
      <c r="F16" s="6">
        <v>6698.7000000000007</v>
      </c>
      <c r="G16" s="6">
        <f t="shared" si="1"/>
        <v>65.502179199999773</v>
      </c>
      <c r="H16" s="8">
        <f t="shared" si="2"/>
        <v>9.8749021165329635E-3</v>
      </c>
    </row>
    <row r="17" spans="1:8" x14ac:dyDescent="0.35">
      <c r="A17">
        <v>2</v>
      </c>
      <c r="B17" s="3" t="s">
        <v>36</v>
      </c>
      <c r="C17" s="3">
        <v>4500</v>
      </c>
      <c r="D17" s="6">
        <v>19368.087936000004</v>
      </c>
      <c r="E17" s="6">
        <f t="shared" si="0"/>
        <v>1614.0073280000004</v>
      </c>
      <c r="F17" s="6">
        <v>1598.11</v>
      </c>
      <c r="G17" s="6">
        <f t="shared" si="1"/>
        <v>-15.897328000000471</v>
      </c>
      <c r="H17" s="8">
        <f t="shared" si="2"/>
        <v>-9.8496008811184699E-3</v>
      </c>
    </row>
    <row r="18" spans="1:8" x14ac:dyDescent="0.35">
      <c r="A18">
        <v>2</v>
      </c>
      <c r="B18" s="3" t="s">
        <v>45</v>
      </c>
      <c r="C18" s="3">
        <v>6110</v>
      </c>
      <c r="D18" s="6">
        <v>27385.808037119998</v>
      </c>
      <c r="E18" s="6">
        <f t="shared" si="0"/>
        <v>2282.1506697599998</v>
      </c>
      <c r="F18" s="6">
        <v>2190.39</v>
      </c>
      <c r="G18" s="6">
        <f t="shared" si="1"/>
        <v>-91.760669759999928</v>
      </c>
      <c r="H18" s="8">
        <f t="shared" si="2"/>
        <v>-4.0207980557940046E-2</v>
      </c>
    </row>
    <row r="19" spans="1:8" x14ac:dyDescent="0.35">
      <c r="A19">
        <v>2</v>
      </c>
      <c r="B19" s="3" t="s">
        <v>33</v>
      </c>
      <c r="C19" s="3">
        <v>3200</v>
      </c>
      <c r="D19" s="6">
        <v>46797.099555840003</v>
      </c>
      <c r="E19" s="6">
        <f t="shared" si="0"/>
        <v>3899.7582963200002</v>
      </c>
      <c r="F19" s="6">
        <v>2817.9</v>
      </c>
      <c r="G19" s="6">
        <f t="shared" si="1"/>
        <v>-1081.8582963200001</v>
      </c>
      <c r="H19" s="8">
        <f t="shared" si="2"/>
        <v>-0.2774167561463729</v>
      </c>
    </row>
    <row r="20" spans="1:8" x14ac:dyDescent="0.35">
      <c r="A20">
        <v>2</v>
      </c>
      <c r="B20" s="3" t="s">
        <v>43</v>
      </c>
      <c r="C20" s="3">
        <v>4300</v>
      </c>
      <c r="D20" s="6">
        <v>42505.917544319993</v>
      </c>
      <c r="E20" s="6">
        <f t="shared" si="0"/>
        <v>3542.1597953599994</v>
      </c>
      <c r="F20" s="6">
        <v>3575.8100000000004</v>
      </c>
      <c r="G20" s="6">
        <f t="shared" si="1"/>
        <v>33.650204640000993</v>
      </c>
      <c r="H20" s="8">
        <f t="shared" si="2"/>
        <v>9.4999115184133103E-3</v>
      </c>
    </row>
    <row r="21" spans="1:8" x14ac:dyDescent="0.35">
      <c r="A21">
        <v>2</v>
      </c>
      <c r="B21" s="3" t="s">
        <v>25</v>
      </c>
      <c r="C21" s="3">
        <v>5400</v>
      </c>
      <c r="D21" s="6">
        <v>55658.828136960001</v>
      </c>
      <c r="E21" s="6">
        <f t="shared" si="0"/>
        <v>4638.2356780800001</v>
      </c>
      <c r="F21" s="6">
        <v>4638.16</v>
      </c>
      <c r="G21" s="6">
        <f t="shared" si="1"/>
        <v>-7.5678080000216141E-2</v>
      </c>
      <c r="H21" s="8">
        <f t="shared" si="2"/>
        <v>-1.6316135111000466E-5</v>
      </c>
    </row>
    <row r="22" spans="1:8" x14ac:dyDescent="0.35">
      <c r="A22">
        <v>2</v>
      </c>
      <c r="B22" s="3" t="s">
        <v>31</v>
      </c>
      <c r="C22" s="3">
        <v>3900</v>
      </c>
      <c r="D22" s="6">
        <v>11700.727933440001</v>
      </c>
      <c r="E22" s="6">
        <f t="shared" si="0"/>
        <v>975.06066112000008</v>
      </c>
      <c r="F22" s="6">
        <v>975.04</v>
      </c>
      <c r="G22" s="6">
        <f t="shared" si="1"/>
        <v>-2.0661120000113442E-2</v>
      </c>
      <c r="H22" s="8">
        <f t="shared" si="2"/>
        <v>-2.1189573965973684E-5</v>
      </c>
    </row>
    <row r="23" spans="1:8" x14ac:dyDescent="0.35">
      <c r="A23">
        <v>2</v>
      </c>
      <c r="B23" s="3" t="s">
        <v>39</v>
      </c>
      <c r="C23" s="3">
        <v>5700</v>
      </c>
      <c r="D23" s="6">
        <v>32079.840000000004</v>
      </c>
      <c r="E23" s="6">
        <f t="shared" si="0"/>
        <v>2673.32</v>
      </c>
      <c r="F23" s="6">
        <v>2673.32</v>
      </c>
      <c r="G23" s="6">
        <f t="shared" si="1"/>
        <v>0</v>
      </c>
      <c r="H23" s="8">
        <f t="shared" si="2"/>
        <v>0</v>
      </c>
    </row>
    <row r="24" spans="1:8" x14ac:dyDescent="0.35">
      <c r="A24">
        <v>2</v>
      </c>
      <c r="B24" s="3" t="s">
        <v>41</v>
      </c>
      <c r="C24" s="3">
        <v>4600</v>
      </c>
      <c r="D24" s="6">
        <v>101734.56</v>
      </c>
      <c r="E24" s="6">
        <f t="shared" si="0"/>
        <v>8477.8799999999992</v>
      </c>
      <c r="F24" s="6">
        <v>7951.5400000000009</v>
      </c>
      <c r="G24" s="6">
        <f t="shared" si="1"/>
        <v>-526.33999999999833</v>
      </c>
      <c r="H24" s="8">
        <f t="shared" si="2"/>
        <v>-6.2083917205716335E-2</v>
      </c>
    </row>
    <row r="25" spans="1:8" x14ac:dyDescent="0.35">
      <c r="A25">
        <v>2</v>
      </c>
      <c r="B25" s="3" t="s">
        <v>40</v>
      </c>
      <c r="C25" s="3">
        <v>5500</v>
      </c>
      <c r="D25" s="6">
        <v>51310.232705279996</v>
      </c>
      <c r="E25" s="6">
        <f t="shared" si="0"/>
        <v>4275.8527254399996</v>
      </c>
      <c r="F25" s="6">
        <v>3124.8500000000004</v>
      </c>
      <c r="G25" s="6">
        <f t="shared" si="1"/>
        <v>-1151.0027254399993</v>
      </c>
      <c r="H25" s="8">
        <f t="shared" si="2"/>
        <v>-0.2691867094934981</v>
      </c>
    </row>
    <row r="26" spans="1:8" x14ac:dyDescent="0.35">
      <c r="A26">
        <v>2</v>
      </c>
      <c r="B26" s="3" t="s">
        <v>38</v>
      </c>
      <c r="C26" s="3">
        <v>1800</v>
      </c>
      <c r="D26" s="6">
        <v>73345.946849280008</v>
      </c>
      <c r="E26" s="6">
        <f t="shared" si="0"/>
        <v>6112.1622374400004</v>
      </c>
      <c r="F26" s="6">
        <v>6057.21</v>
      </c>
      <c r="G26" s="6">
        <f t="shared" si="1"/>
        <v>-54.952237440000317</v>
      </c>
      <c r="H26" s="8">
        <f t="shared" si="2"/>
        <v>-8.9906378962572083E-3</v>
      </c>
    </row>
    <row r="27" spans="1:8" x14ac:dyDescent="0.35">
      <c r="A27">
        <v>2</v>
      </c>
      <c r="B27" s="3" t="s">
        <v>506</v>
      </c>
      <c r="C27" s="3">
        <v>4100</v>
      </c>
      <c r="D27" s="6">
        <v>14780.234083200001</v>
      </c>
      <c r="E27" s="6">
        <f t="shared" si="0"/>
        <v>1231.6861736000001</v>
      </c>
      <c r="F27" s="6">
        <v>1231.6600000000001</v>
      </c>
      <c r="G27" s="6">
        <f t="shared" si="1"/>
        <v>-2.6173599999992803E-2</v>
      </c>
      <c r="H27" s="8">
        <f t="shared" si="2"/>
        <v>-2.1250218246334628E-5</v>
      </c>
    </row>
  </sheetData>
  <autoFilter ref="A1:H1" xr:uid="{00000000-0001-0000-0300-000000000000}"/>
  <conditionalFormatting sqref="H1">
    <cfRule type="cellIs" dxfId="3" priority="2" operator="greaterThan">
      <formula>5</formula>
    </cfRule>
  </conditionalFormatting>
  <conditionalFormatting sqref="H1:H1048576">
    <cfRule type="cellIs" dxfId="2" priority="1" operator="greaterThan">
      <formula>0.05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7"/>
  <sheetViews>
    <sheetView workbookViewId="0">
      <selection activeCell="B30" sqref="B30"/>
    </sheetView>
  </sheetViews>
  <sheetFormatPr defaultRowHeight="14.5" x14ac:dyDescent="0.35"/>
  <cols>
    <col min="1" max="1" width="7" bestFit="1" customWidth="1"/>
    <col min="2" max="2" width="34.54296875" customWidth="1"/>
    <col min="3" max="3" width="10.1796875" customWidth="1"/>
    <col min="4" max="4" width="18.1796875" customWidth="1"/>
    <col min="5" max="5" width="16.7265625" customWidth="1"/>
    <col min="6" max="7" width="13.7265625" customWidth="1"/>
    <col min="8" max="8" width="13.81640625" customWidth="1"/>
    <col min="9" max="9" width="13.54296875" customWidth="1"/>
    <col min="10" max="10" width="14.1796875" customWidth="1"/>
  </cols>
  <sheetData>
    <row r="1" spans="1:10" ht="31.5" customHeight="1" x14ac:dyDescent="0.35">
      <c r="A1" s="7" t="s">
        <v>15</v>
      </c>
      <c r="B1" s="7" t="s">
        <v>2</v>
      </c>
      <c r="C1" s="9" t="s">
        <v>6</v>
      </c>
      <c r="D1" s="7" t="s">
        <v>19</v>
      </c>
      <c r="E1" s="7" t="s">
        <v>16</v>
      </c>
      <c r="F1" s="7" t="s">
        <v>17</v>
      </c>
      <c r="G1" s="7" t="s">
        <v>18</v>
      </c>
      <c r="H1" s="32" t="s">
        <v>20</v>
      </c>
      <c r="I1" s="1" t="s">
        <v>21</v>
      </c>
      <c r="J1" s="1" t="s">
        <v>22</v>
      </c>
    </row>
    <row r="2" spans="1:10" x14ac:dyDescent="0.35">
      <c r="A2">
        <v>2</v>
      </c>
      <c r="B2" s="3" t="s">
        <v>35</v>
      </c>
      <c r="C2" s="3">
        <v>2200</v>
      </c>
      <c r="D2" s="6">
        <v>8517.6</v>
      </c>
      <c r="E2" s="6">
        <v>8818.6778262399985</v>
      </c>
      <c r="F2" s="6">
        <f>D2-E2</f>
        <v>-301.0778262399981</v>
      </c>
      <c r="G2" s="8">
        <f>(D2-E2)/E2</f>
        <v>-3.4140925904350451E-2</v>
      </c>
    </row>
    <row r="3" spans="1:10" x14ac:dyDescent="0.35">
      <c r="A3">
        <v>2</v>
      </c>
      <c r="B3" s="3" t="s">
        <v>48</v>
      </c>
      <c r="C3" s="3">
        <v>2400</v>
      </c>
      <c r="D3" s="6">
        <v>4426.3600000000006</v>
      </c>
      <c r="E3" s="6">
        <v>4426.3600000000006</v>
      </c>
      <c r="F3" s="6">
        <f t="shared" ref="F3:F27" si="0">D3-E3</f>
        <v>0</v>
      </c>
      <c r="G3" s="8">
        <f t="shared" ref="G3:G27" si="1">(D3-E3)/E3</f>
        <v>0</v>
      </c>
    </row>
    <row r="4" spans="1:10" x14ac:dyDescent="0.35">
      <c r="A4">
        <v>2</v>
      </c>
      <c r="B4" s="3" t="s">
        <v>47</v>
      </c>
      <c r="C4" s="3">
        <v>2410</v>
      </c>
      <c r="D4" s="6">
        <v>2939.06</v>
      </c>
      <c r="E4" s="6">
        <v>3084.5741910400006</v>
      </c>
      <c r="F4" s="6">
        <f t="shared" si="0"/>
        <v>-145.5141910400007</v>
      </c>
      <c r="G4" s="8">
        <f t="shared" si="1"/>
        <v>-4.7174806643551302E-2</v>
      </c>
    </row>
    <row r="5" spans="1:10" x14ac:dyDescent="0.35">
      <c r="A5">
        <v>2</v>
      </c>
      <c r="B5" s="3" t="s">
        <v>26</v>
      </c>
      <c r="C5" s="3">
        <v>1400</v>
      </c>
      <c r="D5" s="6">
        <v>5783.46</v>
      </c>
      <c r="E5" s="6">
        <v>5376.4771166400005</v>
      </c>
      <c r="F5" s="6">
        <f t="shared" si="0"/>
        <v>406.98288335999951</v>
      </c>
      <c r="G5" s="8">
        <f t="shared" si="1"/>
        <v>7.5696943282879847E-2</v>
      </c>
    </row>
    <row r="6" spans="1:10" x14ac:dyDescent="0.35">
      <c r="A6">
        <v>2</v>
      </c>
      <c r="B6" s="3" t="s">
        <v>44</v>
      </c>
      <c r="C6" s="3">
        <v>1100</v>
      </c>
      <c r="D6" s="6">
        <v>2096.8900000000003</v>
      </c>
      <c r="E6" s="6">
        <v>2082.5088001600002</v>
      </c>
      <c r="F6" s="6">
        <f t="shared" si="0"/>
        <v>14.381199840000136</v>
      </c>
      <c r="G6" s="8">
        <f t="shared" si="1"/>
        <v>6.9057090365693633E-3</v>
      </c>
    </row>
    <row r="7" spans="1:10" x14ac:dyDescent="0.35">
      <c r="A7">
        <v>2</v>
      </c>
      <c r="B7" s="3" t="s">
        <v>32</v>
      </c>
      <c r="C7" s="3">
        <v>2100</v>
      </c>
      <c r="D7" s="6">
        <v>14328.720000000001</v>
      </c>
      <c r="E7" s="6">
        <v>14314.543765280001</v>
      </c>
      <c r="F7" s="6">
        <f t="shared" si="0"/>
        <v>14.176234720000139</v>
      </c>
      <c r="G7" s="8">
        <f t="shared" si="1"/>
        <v>9.903378656317826E-4</v>
      </c>
    </row>
    <row r="8" spans="1:10" x14ac:dyDescent="0.35">
      <c r="A8">
        <v>2</v>
      </c>
      <c r="B8" s="3" t="s">
        <v>30</v>
      </c>
      <c r="C8" s="3">
        <v>4400</v>
      </c>
      <c r="D8" s="6">
        <v>2301.5699999999997</v>
      </c>
      <c r="E8" s="6">
        <v>2319.9879094400003</v>
      </c>
      <c r="F8" s="6">
        <f t="shared" si="0"/>
        <v>-18.417909440000585</v>
      </c>
      <c r="G8" s="8">
        <f t="shared" si="1"/>
        <v>-7.9387954415875844E-3</v>
      </c>
    </row>
    <row r="9" spans="1:10" x14ac:dyDescent="0.35">
      <c r="A9">
        <v>2</v>
      </c>
      <c r="B9" s="3" t="s">
        <v>29</v>
      </c>
      <c r="C9" s="3">
        <v>1300</v>
      </c>
      <c r="D9" s="6">
        <v>20344.11</v>
      </c>
      <c r="E9" s="6">
        <v>20977.407334240008</v>
      </c>
      <c r="F9" s="6">
        <f t="shared" si="0"/>
        <v>-633.29733424000733</v>
      </c>
      <c r="G9" s="8">
        <f t="shared" si="1"/>
        <v>-3.0189495019545088E-2</v>
      </c>
    </row>
    <row r="10" spans="1:10" x14ac:dyDescent="0.35">
      <c r="A10">
        <v>2</v>
      </c>
      <c r="B10" s="3" t="s">
        <v>28</v>
      </c>
      <c r="C10" s="3">
        <v>1600</v>
      </c>
      <c r="D10" s="6">
        <v>36614.5</v>
      </c>
      <c r="E10" s="6">
        <v>33144.82469904</v>
      </c>
      <c r="F10" s="6">
        <f t="shared" si="0"/>
        <v>3469.6753009599997</v>
      </c>
      <c r="G10" s="8">
        <f t="shared" si="1"/>
        <v>0.10468226434941726</v>
      </c>
    </row>
    <row r="11" spans="1:10" x14ac:dyDescent="0.35">
      <c r="A11">
        <v>2</v>
      </c>
      <c r="B11" s="3" t="s">
        <v>49</v>
      </c>
      <c r="C11" s="3">
        <v>5600</v>
      </c>
      <c r="D11" s="6">
        <v>2629.77</v>
      </c>
      <c r="E11" s="6">
        <v>2644.6013737600001</v>
      </c>
      <c r="F11" s="6">
        <f t="shared" si="0"/>
        <v>-14.831373760000133</v>
      </c>
      <c r="G11" s="8">
        <f t="shared" si="1"/>
        <v>-5.6081698766243223E-3</v>
      </c>
    </row>
    <row r="12" spans="1:10" x14ac:dyDescent="0.35">
      <c r="A12">
        <v>2</v>
      </c>
      <c r="B12" s="3" t="s">
        <v>37</v>
      </c>
      <c r="C12" s="3">
        <v>3500</v>
      </c>
      <c r="D12" s="6">
        <v>4579.54</v>
      </c>
      <c r="E12" s="6">
        <v>5387.7771665600003</v>
      </c>
      <c r="F12" s="6">
        <f t="shared" si="0"/>
        <v>-808.23716656000033</v>
      </c>
      <c r="G12" s="8">
        <f t="shared" si="1"/>
        <v>-0.15001310217067595</v>
      </c>
    </row>
    <row r="13" spans="1:10" x14ac:dyDescent="0.35">
      <c r="A13">
        <v>2</v>
      </c>
      <c r="B13" s="3" t="s">
        <v>34</v>
      </c>
      <c r="C13" s="3">
        <v>6410</v>
      </c>
      <c r="D13" s="6">
        <v>2417.66</v>
      </c>
      <c r="E13" s="6">
        <v>2417.7136711999997</v>
      </c>
      <c r="F13" s="6">
        <f t="shared" si="0"/>
        <v>-5.3671199999826058E-2</v>
      </c>
      <c r="G13" s="8">
        <f t="shared" si="1"/>
        <v>-2.2199154779642322E-5</v>
      </c>
    </row>
    <row r="14" spans="1:10" x14ac:dyDescent="0.35">
      <c r="A14">
        <v>2</v>
      </c>
      <c r="B14" s="3" t="s">
        <v>46</v>
      </c>
      <c r="C14" s="3">
        <v>3110</v>
      </c>
      <c r="D14" s="6">
        <v>2622.2</v>
      </c>
      <c r="E14" s="6">
        <v>3187.5272055999999</v>
      </c>
      <c r="F14" s="6">
        <f t="shared" si="0"/>
        <v>-565.32720560000007</v>
      </c>
      <c r="G14" s="8">
        <f t="shared" si="1"/>
        <v>-0.17735604094823293</v>
      </c>
    </row>
    <row r="15" spans="1:10" x14ac:dyDescent="0.35">
      <c r="A15">
        <v>2</v>
      </c>
      <c r="B15" s="3" t="s">
        <v>27</v>
      </c>
      <c r="C15" s="3">
        <v>1200</v>
      </c>
      <c r="D15" s="6">
        <v>12729.449999999997</v>
      </c>
      <c r="E15" s="6">
        <v>13171.92230672</v>
      </c>
      <c r="F15" s="6">
        <f t="shared" si="0"/>
        <v>-442.47230672000296</v>
      </c>
      <c r="G15" s="8">
        <f t="shared" si="1"/>
        <v>-3.3592082948611393E-2</v>
      </c>
    </row>
    <row r="16" spans="1:10" x14ac:dyDescent="0.35">
      <c r="A16">
        <v>2</v>
      </c>
      <c r="B16" s="3" t="s">
        <v>42</v>
      </c>
      <c r="C16" s="3">
        <v>1000</v>
      </c>
      <c r="D16" s="6">
        <v>6698.7000000000007</v>
      </c>
      <c r="E16" s="6">
        <v>6633.197820800001</v>
      </c>
      <c r="F16" s="6">
        <f t="shared" si="0"/>
        <v>65.502179199999773</v>
      </c>
      <c r="G16" s="8">
        <f t="shared" si="1"/>
        <v>9.8749021165329635E-3</v>
      </c>
    </row>
    <row r="17" spans="1:7" x14ac:dyDescent="0.35">
      <c r="A17">
        <v>2</v>
      </c>
      <c r="B17" s="3" t="s">
        <v>36</v>
      </c>
      <c r="C17" s="3">
        <v>4500</v>
      </c>
      <c r="D17" s="6">
        <v>1598.11</v>
      </c>
      <c r="E17" s="6">
        <v>1614.0073280000004</v>
      </c>
      <c r="F17" s="6">
        <f t="shared" si="0"/>
        <v>-15.897328000000471</v>
      </c>
      <c r="G17" s="8">
        <f t="shared" si="1"/>
        <v>-9.8496008811184699E-3</v>
      </c>
    </row>
    <row r="18" spans="1:7" x14ac:dyDescent="0.35">
      <c r="A18">
        <v>2</v>
      </c>
      <c r="B18" s="3" t="s">
        <v>45</v>
      </c>
      <c r="C18" s="3">
        <v>6110</v>
      </c>
      <c r="D18" s="6">
        <v>2190.39</v>
      </c>
      <c r="E18" s="6">
        <v>2282.1506697599998</v>
      </c>
      <c r="F18" s="6">
        <f t="shared" si="0"/>
        <v>-91.760669759999928</v>
      </c>
      <c r="G18" s="8">
        <f t="shared" si="1"/>
        <v>-4.0207980557940046E-2</v>
      </c>
    </row>
    <row r="19" spans="1:7" x14ac:dyDescent="0.35">
      <c r="A19">
        <v>2</v>
      </c>
      <c r="B19" s="3" t="s">
        <v>33</v>
      </c>
      <c r="C19" s="3">
        <v>3200</v>
      </c>
      <c r="D19" s="6">
        <v>2817.9</v>
      </c>
      <c r="E19" s="6">
        <v>3899.7582963200002</v>
      </c>
      <c r="F19" s="6">
        <f t="shared" si="0"/>
        <v>-1081.8582963200001</v>
      </c>
      <c r="G19" s="8">
        <f t="shared" si="1"/>
        <v>-0.2774167561463729</v>
      </c>
    </row>
    <row r="20" spans="1:7" x14ac:dyDescent="0.35">
      <c r="A20">
        <v>2</v>
      </c>
      <c r="B20" s="3" t="s">
        <v>43</v>
      </c>
      <c r="C20" s="3">
        <v>4300</v>
      </c>
      <c r="D20" s="6">
        <v>3575.8100000000004</v>
      </c>
      <c r="E20" s="6">
        <v>3542.1597953599994</v>
      </c>
      <c r="F20" s="6">
        <f t="shared" si="0"/>
        <v>33.650204640000993</v>
      </c>
      <c r="G20" s="8">
        <f t="shared" si="1"/>
        <v>9.4999115184133103E-3</v>
      </c>
    </row>
    <row r="21" spans="1:7" x14ac:dyDescent="0.35">
      <c r="A21">
        <v>2</v>
      </c>
      <c r="B21" s="3" t="s">
        <v>25</v>
      </c>
      <c r="C21" s="3">
        <v>5400</v>
      </c>
      <c r="D21" s="6">
        <v>4638.16</v>
      </c>
      <c r="E21" s="6">
        <v>4638.2356780800001</v>
      </c>
      <c r="F21" s="6">
        <f t="shared" si="0"/>
        <v>-7.5678080000216141E-2</v>
      </c>
      <c r="G21" s="8">
        <f t="shared" si="1"/>
        <v>-1.6316135111000466E-5</v>
      </c>
    </row>
    <row r="22" spans="1:7" x14ac:dyDescent="0.35">
      <c r="A22">
        <v>2</v>
      </c>
      <c r="B22" s="3" t="s">
        <v>31</v>
      </c>
      <c r="C22" s="3">
        <v>3900</v>
      </c>
      <c r="D22" s="6">
        <v>975.04</v>
      </c>
      <c r="E22" s="6">
        <v>975.06066112000008</v>
      </c>
      <c r="F22" s="6">
        <f t="shared" si="0"/>
        <v>-2.0661120000113442E-2</v>
      </c>
      <c r="G22" s="8">
        <f t="shared" si="1"/>
        <v>-2.1189573965973684E-5</v>
      </c>
    </row>
    <row r="23" spans="1:7" x14ac:dyDescent="0.35">
      <c r="A23">
        <v>2</v>
      </c>
      <c r="B23" s="3" t="s">
        <v>39</v>
      </c>
      <c r="C23" s="3">
        <v>5700</v>
      </c>
      <c r="D23" s="6">
        <v>2673.32</v>
      </c>
      <c r="E23" s="6">
        <v>2673.32</v>
      </c>
      <c r="F23" s="6">
        <f t="shared" si="0"/>
        <v>0</v>
      </c>
      <c r="G23" s="8">
        <f t="shared" si="1"/>
        <v>0</v>
      </c>
    </row>
    <row r="24" spans="1:7" x14ac:dyDescent="0.35">
      <c r="A24">
        <v>2</v>
      </c>
      <c r="B24" s="3" t="s">
        <v>41</v>
      </c>
      <c r="C24" s="3">
        <v>4600</v>
      </c>
      <c r="D24" s="6">
        <v>7951.5400000000009</v>
      </c>
      <c r="E24" s="6">
        <v>8477.8799999999992</v>
      </c>
      <c r="F24" s="6">
        <f t="shared" si="0"/>
        <v>-526.33999999999833</v>
      </c>
      <c r="G24" s="8">
        <f t="shared" si="1"/>
        <v>-6.2083917205716335E-2</v>
      </c>
    </row>
    <row r="25" spans="1:7" x14ac:dyDescent="0.35">
      <c r="A25">
        <v>2</v>
      </c>
      <c r="B25" s="3" t="s">
        <v>40</v>
      </c>
      <c r="C25" s="3">
        <v>5500</v>
      </c>
      <c r="D25" s="6">
        <v>3124.8500000000004</v>
      </c>
      <c r="E25" s="6">
        <v>4275.8527254399996</v>
      </c>
      <c r="F25" s="6">
        <f t="shared" si="0"/>
        <v>-1151.0027254399993</v>
      </c>
      <c r="G25" s="8">
        <f t="shared" si="1"/>
        <v>-0.2691867094934981</v>
      </c>
    </row>
    <row r="26" spans="1:7" x14ac:dyDescent="0.35">
      <c r="A26">
        <v>2</v>
      </c>
      <c r="B26" s="3" t="s">
        <v>38</v>
      </c>
      <c r="C26" s="3">
        <v>1800</v>
      </c>
      <c r="D26" s="6">
        <v>6057.21</v>
      </c>
      <c r="E26" s="6">
        <v>6112.1622374400004</v>
      </c>
      <c r="F26" s="6">
        <f t="shared" si="0"/>
        <v>-54.952237440000317</v>
      </c>
      <c r="G26" s="8">
        <f t="shared" si="1"/>
        <v>-8.9906378962572083E-3</v>
      </c>
    </row>
    <row r="27" spans="1:7" x14ac:dyDescent="0.35">
      <c r="A27">
        <v>2</v>
      </c>
      <c r="B27" s="3" t="s">
        <v>506</v>
      </c>
      <c r="C27" s="3">
        <v>4100</v>
      </c>
      <c r="D27" s="6">
        <v>1231.6600000000001</v>
      </c>
      <c r="E27" s="6">
        <v>1231.6861736000001</v>
      </c>
      <c r="F27" s="6">
        <f t="shared" si="0"/>
        <v>-2.6173599999992803E-2</v>
      </c>
      <c r="G27" s="8">
        <f t="shared" si="1"/>
        <v>-2.1250218246334628E-5</v>
      </c>
    </row>
  </sheetData>
  <autoFilter ref="A1:J1" xr:uid="{00000000-0001-0000-0500-000000000000}"/>
  <conditionalFormatting sqref="G1">
    <cfRule type="cellIs" dxfId="1" priority="3" operator="greaterThan">
      <formula>5</formula>
    </cfRule>
  </conditionalFormatting>
  <conditionalFormatting sqref="G1:G1048576">
    <cfRule type="cellIs" dxfId="0" priority="1" operator="greaterThan">
      <formula>0.05</formula>
    </cfRule>
  </conditionalFormatting>
  <dataValidations count="1">
    <dataValidation type="list" allowBlank="1" sqref="H2:H100" xr:uid="{00000000-0002-0000-0500-000000000000}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4FBFE-739B-4328-85F3-E3D9FF2B49F3}">
  <sheetPr>
    <tabColor rgb="FF1168AF"/>
    <outlinePr summaryBelow="0"/>
  </sheetPr>
  <dimension ref="A1:G137"/>
  <sheetViews>
    <sheetView workbookViewId="0">
      <pane ySplit="1" topLeftCell="A74" activePane="bottomLeft" state="frozen"/>
      <selection pane="bottomLeft" activeCell="C124" sqref="C124"/>
    </sheetView>
  </sheetViews>
  <sheetFormatPr defaultRowHeight="14.5" outlineLevelRow="3" x14ac:dyDescent="0.35"/>
  <cols>
    <col min="1" max="1" width="8" customWidth="1"/>
    <col min="2" max="2" width="10" customWidth="1"/>
    <col min="3" max="3" width="42" customWidth="1"/>
    <col min="4" max="6" width="28" customWidth="1"/>
    <col min="7" max="7" width="20" customWidth="1"/>
  </cols>
  <sheetData>
    <row r="1" spans="1:7" ht="22" customHeight="1" x14ac:dyDescent="0.35">
      <c r="A1" s="11" t="s">
        <v>143</v>
      </c>
      <c r="B1" s="11" t="s">
        <v>144</v>
      </c>
      <c r="C1" s="11" t="s">
        <v>145</v>
      </c>
      <c r="D1" s="11" t="s">
        <v>146</v>
      </c>
      <c r="E1" s="11" t="s">
        <v>147</v>
      </c>
      <c r="F1" s="11" t="s">
        <v>148</v>
      </c>
      <c r="G1" s="11" t="s">
        <v>149</v>
      </c>
    </row>
    <row r="2" spans="1:7" ht="15" customHeight="1" x14ac:dyDescent="0.35">
      <c r="A2" s="12">
        <v>0</v>
      </c>
      <c r="B2" s="12" t="s">
        <v>150</v>
      </c>
      <c r="C2" s="13" t="s">
        <v>150</v>
      </c>
      <c r="D2" s="14"/>
      <c r="E2" s="14"/>
      <c r="F2" s="14"/>
      <c r="G2" s="15"/>
    </row>
    <row r="3" spans="1:7" ht="15" customHeight="1" outlineLevel="1" x14ac:dyDescent="0.35">
      <c r="A3" s="16">
        <v>1</v>
      </c>
      <c r="B3" s="16" t="s">
        <v>151</v>
      </c>
      <c r="C3" s="17" t="s">
        <v>152</v>
      </c>
      <c r="D3" s="18" t="s">
        <v>152</v>
      </c>
      <c r="E3" s="18"/>
      <c r="F3" s="18"/>
      <c r="G3" s="19"/>
    </row>
    <row r="4" spans="1:7" ht="15" customHeight="1" outlineLevel="2" x14ac:dyDescent="0.35">
      <c r="A4" s="20">
        <v>2</v>
      </c>
      <c r="B4" s="20" t="s">
        <v>153</v>
      </c>
      <c r="C4" s="21" t="s">
        <v>154</v>
      </c>
      <c r="D4" s="22" t="s">
        <v>152</v>
      </c>
      <c r="E4" s="22" t="s">
        <v>155</v>
      </c>
      <c r="F4" s="22"/>
      <c r="G4" s="23"/>
    </row>
    <row r="5" spans="1:7" ht="15" customHeight="1" outlineLevel="3" x14ac:dyDescent="0.35">
      <c r="A5" s="24">
        <v>3</v>
      </c>
      <c r="B5" s="24" t="s">
        <v>156</v>
      </c>
      <c r="C5" s="25" t="s">
        <v>157</v>
      </c>
      <c r="D5" s="26" t="s">
        <v>152</v>
      </c>
      <c r="E5" s="26" t="s">
        <v>155</v>
      </c>
      <c r="F5" s="26" t="s">
        <v>155</v>
      </c>
      <c r="G5" s="27"/>
    </row>
    <row r="6" spans="1:7" ht="15" customHeight="1" outlineLevel="2" x14ac:dyDescent="0.35">
      <c r="A6" s="20">
        <v>2</v>
      </c>
      <c r="B6" s="20" t="s">
        <v>158</v>
      </c>
      <c r="C6" s="21" t="s">
        <v>159</v>
      </c>
      <c r="D6" s="22" t="s">
        <v>152</v>
      </c>
      <c r="E6" s="22" t="s">
        <v>160</v>
      </c>
      <c r="F6" s="22"/>
      <c r="G6" s="23"/>
    </row>
    <row r="7" spans="1:7" ht="15" customHeight="1" outlineLevel="3" x14ac:dyDescent="0.35">
      <c r="A7" s="24">
        <v>3</v>
      </c>
      <c r="B7" s="24" t="s">
        <v>161</v>
      </c>
      <c r="C7" s="25" t="s">
        <v>162</v>
      </c>
      <c r="D7" s="26" t="s">
        <v>152</v>
      </c>
      <c r="E7" s="26" t="s">
        <v>160</v>
      </c>
      <c r="F7" s="26" t="s">
        <v>163</v>
      </c>
      <c r="G7" s="27"/>
    </row>
    <row r="8" spans="1:7" ht="15" customHeight="1" outlineLevel="3" x14ac:dyDescent="0.35">
      <c r="A8" s="28">
        <v>3</v>
      </c>
      <c r="B8" s="28" t="s">
        <v>164</v>
      </c>
      <c r="C8" s="29" t="s">
        <v>165</v>
      </c>
      <c r="D8" s="30" t="s">
        <v>152</v>
      </c>
      <c r="E8" s="30" t="s">
        <v>160</v>
      </c>
      <c r="F8" s="30" t="s">
        <v>166</v>
      </c>
      <c r="G8" s="31"/>
    </row>
    <row r="9" spans="1:7" ht="15" customHeight="1" outlineLevel="3" x14ac:dyDescent="0.35">
      <c r="A9" s="24">
        <v>3</v>
      </c>
      <c r="B9" s="24" t="s">
        <v>167</v>
      </c>
      <c r="C9" s="25" t="s">
        <v>168</v>
      </c>
      <c r="D9" s="26" t="s">
        <v>152</v>
      </c>
      <c r="E9" s="26" t="s">
        <v>160</v>
      </c>
      <c r="F9" s="26" t="s">
        <v>169</v>
      </c>
      <c r="G9" s="27"/>
    </row>
    <row r="10" spans="1:7" ht="15" customHeight="1" outlineLevel="3" x14ac:dyDescent="0.35">
      <c r="A10" s="28">
        <v>3</v>
      </c>
      <c r="B10" s="28" t="s">
        <v>170</v>
      </c>
      <c r="C10" s="29" t="s">
        <v>171</v>
      </c>
      <c r="D10" s="30" t="s">
        <v>152</v>
      </c>
      <c r="E10" s="30" t="s">
        <v>160</v>
      </c>
      <c r="F10" s="30" t="s">
        <v>172</v>
      </c>
      <c r="G10" s="31"/>
    </row>
    <row r="11" spans="1:7" ht="15" customHeight="1" outlineLevel="3" x14ac:dyDescent="0.35">
      <c r="A11" s="24">
        <v>3</v>
      </c>
      <c r="B11" s="24" t="s">
        <v>173</v>
      </c>
      <c r="C11" s="25" t="s">
        <v>174</v>
      </c>
      <c r="D11" s="26" t="s">
        <v>152</v>
      </c>
      <c r="E11" s="26" t="s">
        <v>160</v>
      </c>
      <c r="F11" s="26" t="s">
        <v>175</v>
      </c>
      <c r="G11" s="27"/>
    </row>
    <row r="12" spans="1:7" ht="15" customHeight="1" outlineLevel="3" x14ac:dyDescent="0.35">
      <c r="A12" s="28">
        <v>3</v>
      </c>
      <c r="B12" s="28" t="s">
        <v>176</v>
      </c>
      <c r="C12" s="29" t="s">
        <v>177</v>
      </c>
      <c r="D12" s="30" t="s">
        <v>152</v>
      </c>
      <c r="E12" s="30" t="s">
        <v>160</v>
      </c>
      <c r="F12" s="30" t="s">
        <v>178</v>
      </c>
      <c r="G12" s="31"/>
    </row>
    <row r="13" spans="1:7" ht="15" customHeight="1" outlineLevel="3" x14ac:dyDescent="0.35">
      <c r="A13" s="24">
        <v>3</v>
      </c>
      <c r="B13" s="24" t="s">
        <v>179</v>
      </c>
      <c r="C13" s="25" t="s">
        <v>180</v>
      </c>
      <c r="D13" s="26" t="s">
        <v>152</v>
      </c>
      <c r="E13" s="26" t="s">
        <v>160</v>
      </c>
      <c r="F13" s="26" t="s">
        <v>181</v>
      </c>
      <c r="G13" s="27"/>
    </row>
    <row r="14" spans="1:7" ht="15" customHeight="1" outlineLevel="2" x14ac:dyDescent="0.35">
      <c r="A14" s="20">
        <v>2</v>
      </c>
      <c r="B14" s="20" t="s">
        <v>182</v>
      </c>
      <c r="C14" s="21" t="s">
        <v>183</v>
      </c>
      <c r="D14" s="22" t="s">
        <v>152</v>
      </c>
      <c r="E14" s="22" t="s">
        <v>184</v>
      </c>
      <c r="F14" s="22"/>
      <c r="G14" s="23"/>
    </row>
    <row r="15" spans="1:7" ht="15" customHeight="1" outlineLevel="3" x14ac:dyDescent="0.35">
      <c r="A15" s="24">
        <v>3</v>
      </c>
      <c r="B15" s="24" t="s">
        <v>185</v>
      </c>
      <c r="C15" s="25" t="s">
        <v>186</v>
      </c>
      <c r="D15" s="26" t="s">
        <v>152</v>
      </c>
      <c r="E15" s="26" t="s">
        <v>184</v>
      </c>
      <c r="F15" s="26" t="s">
        <v>184</v>
      </c>
      <c r="G15" s="27"/>
    </row>
    <row r="16" spans="1:7" ht="15" customHeight="1" outlineLevel="3" x14ac:dyDescent="0.35">
      <c r="A16" s="28">
        <v>3</v>
      </c>
      <c r="B16" s="28" t="s">
        <v>187</v>
      </c>
      <c r="C16" s="29" t="s">
        <v>188</v>
      </c>
      <c r="D16" s="30" t="s">
        <v>152</v>
      </c>
      <c r="E16" s="30" t="s">
        <v>184</v>
      </c>
      <c r="F16" s="30" t="s">
        <v>189</v>
      </c>
      <c r="G16" s="31"/>
    </row>
    <row r="17" spans="1:7" ht="15" customHeight="1" outlineLevel="3" x14ac:dyDescent="0.35">
      <c r="A17" s="24">
        <v>3</v>
      </c>
      <c r="B17" s="24" t="s">
        <v>190</v>
      </c>
      <c r="C17" s="25" t="s">
        <v>191</v>
      </c>
      <c r="D17" s="26" t="s">
        <v>152</v>
      </c>
      <c r="E17" s="26" t="s">
        <v>184</v>
      </c>
      <c r="F17" s="26" t="s">
        <v>192</v>
      </c>
      <c r="G17" s="27"/>
    </row>
    <row r="18" spans="1:7" ht="15" customHeight="1" outlineLevel="3" x14ac:dyDescent="0.35">
      <c r="A18" s="28">
        <v>3</v>
      </c>
      <c r="B18" s="28" t="s">
        <v>193</v>
      </c>
      <c r="C18" s="29" t="s">
        <v>194</v>
      </c>
      <c r="D18" s="30" t="s">
        <v>152</v>
      </c>
      <c r="E18" s="30" t="s">
        <v>184</v>
      </c>
      <c r="F18" s="30" t="s">
        <v>195</v>
      </c>
      <c r="G18" s="31"/>
    </row>
    <row r="19" spans="1:7" ht="15" customHeight="1" outlineLevel="3" x14ac:dyDescent="0.35">
      <c r="A19" s="24">
        <v>3</v>
      </c>
      <c r="B19" s="24" t="s">
        <v>196</v>
      </c>
      <c r="C19" s="25" t="s">
        <v>197</v>
      </c>
      <c r="D19" s="26" t="s">
        <v>152</v>
      </c>
      <c r="E19" s="26" t="s">
        <v>184</v>
      </c>
      <c r="F19" s="26" t="s">
        <v>198</v>
      </c>
      <c r="G19" s="27"/>
    </row>
    <row r="20" spans="1:7" ht="15" customHeight="1" outlineLevel="3" x14ac:dyDescent="0.35">
      <c r="A20" s="28">
        <v>3</v>
      </c>
      <c r="B20" s="28" t="s">
        <v>199</v>
      </c>
      <c r="C20" s="29" t="s">
        <v>200</v>
      </c>
      <c r="D20" s="30" t="s">
        <v>152</v>
      </c>
      <c r="E20" s="30" t="s">
        <v>184</v>
      </c>
      <c r="F20" s="30" t="s">
        <v>201</v>
      </c>
      <c r="G20" s="31"/>
    </row>
    <row r="21" spans="1:7" ht="15" customHeight="1" outlineLevel="3" x14ac:dyDescent="0.35">
      <c r="A21" s="24">
        <v>3</v>
      </c>
      <c r="B21" s="24" t="s">
        <v>202</v>
      </c>
      <c r="C21" s="25" t="s">
        <v>203</v>
      </c>
      <c r="D21" s="26" t="s">
        <v>152</v>
      </c>
      <c r="E21" s="26" t="s">
        <v>184</v>
      </c>
      <c r="F21" s="26" t="s">
        <v>204</v>
      </c>
      <c r="G21" s="27"/>
    </row>
    <row r="22" spans="1:7" ht="15" customHeight="1" outlineLevel="3" x14ac:dyDescent="0.35">
      <c r="A22" s="28">
        <v>3</v>
      </c>
      <c r="B22" s="28" t="s">
        <v>205</v>
      </c>
      <c r="C22" s="29" t="s">
        <v>206</v>
      </c>
      <c r="D22" s="30" t="s">
        <v>152</v>
      </c>
      <c r="E22" s="30" t="s">
        <v>184</v>
      </c>
      <c r="F22" s="30" t="s">
        <v>207</v>
      </c>
      <c r="G22" s="31"/>
    </row>
    <row r="23" spans="1:7" ht="15" customHeight="1" outlineLevel="2" x14ac:dyDescent="0.35">
      <c r="A23" s="20">
        <v>2</v>
      </c>
      <c r="B23" s="20" t="s">
        <v>208</v>
      </c>
      <c r="C23" s="21" t="s">
        <v>209</v>
      </c>
      <c r="D23" s="22" t="s">
        <v>152</v>
      </c>
      <c r="E23" s="22" t="s">
        <v>210</v>
      </c>
      <c r="F23" s="22"/>
      <c r="G23" s="23"/>
    </row>
    <row r="24" spans="1:7" ht="15" customHeight="1" outlineLevel="3" x14ac:dyDescent="0.35">
      <c r="A24" s="24">
        <v>3</v>
      </c>
      <c r="B24" s="24" t="s">
        <v>211</v>
      </c>
      <c r="C24" s="25" t="s">
        <v>212</v>
      </c>
      <c r="D24" s="26" t="s">
        <v>152</v>
      </c>
      <c r="E24" s="26" t="s">
        <v>210</v>
      </c>
      <c r="F24" s="26" t="s">
        <v>210</v>
      </c>
      <c r="G24" s="27"/>
    </row>
    <row r="25" spans="1:7" ht="15" customHeight="1" outlineLevel="3" x14ac:dyDescent="0.35">
      <c r="A25" s="28">
        <v>3</v>
      </c>
      <c r="B25" s="28" t="s">
        <v>213</v>
      </c>
      <c r="C25" s="29" t="s">
        <v>214</v>
      </c>
      <c r="D25" s="30" t="s">
        <v>152</v>
      </c>
      <c r="E25" s="30" t="s">
        <v>210</v>
      </c>
      <c r="F25" s="30" t="s">
        <v>215</v>
      </c>
      <c r="G25" s="31"/>
    </row>
    <row r="26" spans="1:7" ht="15" customHeight="1" outlineLevel="3" x14ac:dyDescent="0.35">
      <c r="A26" s="24">
        <v>3</v>
      </c>
      <c r="B26" s="24" t="s">
        <v>216</v>
      </c>
      <c r="C26" s="25" t="s">
        <v>217</v>
      </c>
      <c r="D26" s="26" t="s">
        <v>152</v>
      </c>
      <c r="E26" s="26" t="s">
        <v>210</v>
      </c>
      <c r="F26" s="26" t="s">
        <v>218</v>
      </c>
      <c r="G26" s="27"/>
    </row>
    <row r="27" spans="1:7" ht="15" customHeight="1" outlineLevel="3" x14ac:dyDescent="0.35">
      <c r="A27" s="28">
        <v>3</v>
      </c>
      <c r="B27" s="28" t="s">
        <v>219</v>
      </c>
      <c r="C27" s="29" t="s">
        <v>220</v>
      </c>
      <c r="D27" s="30" t="s">
        <v>152</v>
      </c>
      <c r="E27" s="30" t="s">
        <v>210</v>
      </c>
      <c r="F27" s="30" t="s">
        <v>221</v>
      </c>
      <c r="G27" s="31"/>
    </row>
    <row r="28" spans="1:7" ht="15" customHeight="1" outlineLevel="3" x14ac:dyDescent="0.35">
      <c r="A28" s="24">
        <v>3</v>
      </c>
      <c r="B28" s="24" t="s">
        <v>222</v>
      </c>
      <c r="C28" s="25" t="s">
        <v>223</v>
      </c>
      <c r="D28" s="26" t="s">
        <v>152</v>
      </c>
      <c r="E28" s="26" t="s">
        <v>210</v>
      </c>
      <c r="F28" s="26" t="s">
        <v>224</v>
      </c>
      <c r="G28" s="27"/>
    </row>
    <row r="29" spans="1:7" ht="15" customHeight="1" outlineLevel="3" x14ac:dyDescent="0.35">
      <c r="A29" s="28">
        <v>3</v>
      </c>
      <c r="B29" s="28" t="s">
        <v>225</v>
      </c>
      <c r="C29" s="29" t="s">
        <v>226</v>
      </c>
      <c r="D29" s="30" t="s">
        <v>152</v>
      </c>
      <c r="E29" s="30" t="s">
        <v>210</v>
      </c>
      <c r="F29" s="30" t="s">
        <v>227</v>
      </c>
      <c r="G29" s="31"/>
    </row>
    <row r="30" spans="1:7" ht="15" customHeight="1" outlineLevel="2" x14ac:dyDescent="0.35">
      <c r="A30" s="20">
        <v>2</v>
      </c>
      <c r="B30" s="20" t="s">
        <v>228</v>
      </c>
      <c r="C30" s="21" t="s">
        <v>229</v>
      </c>
      <c r="D30" s="22" t="s">
        <v>152</v>
      </c>
      <c r="E30" s="22" t="s">
        <v>230</v>
      </c>
      <c r="F30" s="22"/>
      <c r="G30" s="23"/>
    </row>
    <row r="31" spans="1:7" ht="15" customHeight="1" outlineLevel="3" x14ac:dyDescent="0.35">
      <c r="A31" s="24">
        <v>3</v>
      </c>
      <c r="B31" s="24" t="s">
        <v>231</v>
      </c>
      <c r="C31" s="25" t="s">
        <v>232</v>
      </c>
      <c r="D31" s="26" t="s">
        <v>152</v>
      </c>
      <c r="E31" s="26" t="s">
        <v>230</v>
      </c>
      <c r="F31" s="26" t="s">
        <v>230</v>
      </c>
      <c r="G31" s="27"/>
    </row>
    <row r="32" spans="1:7" ht="15" customHeight="1" outlineLevel="3" x14ac:dyDescent="0.35">
      <c r="A32" s="28">
        <v>3</v>
      </c>
      <c r="B32" s="28" t="s">
        <v>233</v>
      </c>
      <c r="C32" s="29" t="s">
        <v>234</v>
      </c>
      <c r="D32" s="30" t="s">
        <v>152</v>
      </c>
      <c r="E32" s="30" t="s">
        <v>230</v>
      </c>
      <c r="F32" s="30" t="s">
        <v>235</v>
      </c>
      <c r="G32" s="31"/>
    </row>
    <row r="33" spans="1:7" ht="15" customHeight="1" outlineLevel="3" x14ac:dyDescent="0.35">
      <c r="A33" s="24">
        <v>3</v>
      </c>
      <c r="B33" s="24" t="s">
        <v>236</v>
      </c>
      <c r="C33" s="25" t="s">
        <v>237</v>
      </c>
      <c r="D33" s="26" t="s">
        <v>152</v>
      </c>
      <c r="E33" s="26" t="s">
        <v>230</v>
      </c>
      <c r="F33" s="26" t="s">
        <v>238</v>
      </c>
      <c r="G33" s="27"/>
    </row>
    <row r="34" spans="1:7" ht="15" customHeight="1" outlineLevel="2" x14ac:dyDescent="0.35">
      <c r="A34" s="20">
        <v>2</v>
      </c>
      <c r="B34" s="20" t="s">
        <v>239</v>
      </c>
      <c r="C34" s="21" t="s">
        <v>240</v>
      </c>
      <c r="D34" s="22" t="s">
        <v>152</v>
      </c>
      <c r="E34" s="22" t="s">
        <v>241</v>
      </c>
      <c r="F34" s="22"/>
      <c r="G34" s="23"/>
    </row>
    <row r="35" spans="1:7" ht="15" customHeight="1" outlineLevel="3" x14ac:dyDescent="0.35">
      <c r="A35" s="24">
        <v>3</v>
      </c>
      <c r="B35" s="24" t="s">
        <v>242</v>
      </c>
      <c r="C35" s="25" t="s">
        <v>243</v>
      </c>
      <c r="D35" s="26" t="s">
        <v>152</v>
      </c>
      <c r="E35" s="26" t="s">
        <v>241</v>
      </c>
      <c r="F35" s="26" t="s">
        <v>241</v>
      </c>
      <c r="G35" s="27"/>
    </row>
    <row r="36" spans="1:7" ht="15" customHeight="1" outlineLevel="3" x14ac:dyDescent="0.35">
      <c r="A36" s="28">
        <v>3</v>
      </c>
      <c r="B36" s="28" t="s">
        <v>244</v>
      </c>
      <c r="C36" s="29" t="s">
        <v>245</v>
      </c>
      <c r="D36" s="30" t="s">
        <v>152</v>
      </c>
      <c r="E36" s="30" t="s">
        <v>241</v>
      </c>
      <c r="F36" s="30" t="s">
        <v>246</v>
      </c>
      <c r="G36" s="31"/>
    </row>
    <row r="37" spans="1:7" ht="15" customHeight="1" outlineLevel="3" x14ac:dyDescent="0.35">
      <c r="A37" s="24">
        <v>3</v>
      </c>
      <c r="B37" s="24" t="s">
        <v>247</v>
      </c>
      <c r="C37" s="25" t="s">
        <v>248</v>
      </c>
      <c r="D37" s="26" t="s">
        <v>152</v>
      </c>
      <c r="E37" s="26" t="s">
        <v>241</v>
      </c>
      <c r="F37" s="26" t="s">
        <v>249</v>
      </c>
      <c r="G37" s="27"/>
    </row>
    <row r="38" spans="1:7" ht="15" customHeight="1" outlineLevel="3" x14ac:dyDescent="0.35">
      <c r="A38" s="28">
        <v>3</v>
      </c>
      <c r="B38" s="28" t="s">
        <v>250</v>
      </c>
      <c r="C38" s="29" t="s">
        <v>248</v>
      </c>
      <c r="D38" s="30" t="s">
        <v>152</v>
      </c>
      <c r="E38" s="30" t="s">
        <v>241</v>
      </c>
      <c r="F38" s="30" t="s">
        <v>249</v>
      </c>
      <c r="G38" s="31"/>
    </row>
    <row r="39" spans="1:7" ht="15" customHeight="1" outlineLevel="3" x14ac:dyDescent="0.35">
      <c r="A39" s="24">
        <v>3</v>
      </c>
      <c r="B39" s="24" t="s">
        <v>251</v>
      </c>
      <c r="C39" s="25" t="s">
        <v>252</v>
      </c>
      <c r="D39" s="26" t="s">
        <v>152</v>
      </c>
      <c r="E39" s="26" t="s">
        <v>241</v>
      </c>
      <c r="F39" s="26" t="s">
        <v>253</v>
      </c>
      <c r="G39" s="27"/>
    </row>
    <row r="40" spans="1:7" ht="15" customHeight="1" outlineLevel="2" x14ac:dyDescent="0.35">
      <c r="A40" s="20">
        <v>2</v>
      </c>
      <c r="B40" s="20" t="s">
        <v>254</v>
      </c>
      <c r="C40" s="21" t="s">
        <v>255</v>
      </c>
      <c r="D40" s="22" t="s">
        <v>152</v>
      </c>
      <c r="E40" s="22" t="s">
        <v>256</v>
      </c>
      <c r="F40" s="22"/>
      <c r="G40" s="23"/>
    </row>
    <row r="41" spans="1:7" ht="15" customHeight="1" outlineLevel="3" x14ac:dyDescent="0.35">
      <c r="A41" s="24">
        <v>3</v>
      </c>
      <c r="B41" s="24" t="s">
        <v>257</v>
      </c>
      <c r="C41" s="25" t="s">
        <v>258</v>
      </c>
      <c r="D41" s="26" t="s">
        <v>152</v>
      </c>
      <c r="E41" s="26" t="s">
        <v>256</v>
      </c>
      <c r="F41" s="26" t="s">
        <v>256</v>
      </c>
      <c r="G41" s="27"/>
    </row>
    <row r="42" spans="1:7" ht="15" customHeight="1" outlineLevel="3" x14ac:dyDescent="0.35">
      <c r="A42" s="28">
        <v>3</v>
      </c>
      <c r="B42" s="28" t="s">
        <v>259</v>
      </c>
      <c r="C42" s="29" t="s">
        <v>260</v>
      </c>
      <c r="D42" s="30" t="s">
        <v>152</v>
      </c>
      <c r="E42" s="30" t="s">
        <v>256</v>
      </c>
      <c r="F42" s="30" t="s">
        <v>261</v>
      </c>
      <c r="G42" s="31"/>
    </row>
    <row r="43" spans="1:7" ht="15" customHeight="1" outlineLevel="3" x14ac:dyDescent="0.35">
      <c r="A43" s="24">
        <v>3</v>
      </c>
      <c r="B43" s="24" t="s">
        <v>262</v>
      </c>
      <c r="C43" s="25" t="s">
        <v>263</v>
      </c>
      <c r="D43" s="26" t="s">
        <v>152</v>
      </c>
      <c r="E43" s="26" t="s">
        <v>256</v>
      </c>
      <c r="F43" s="26" t="s">
        <v>264</v>
      </c>
      <c r="G43" s="27"/>
    </row>
    <row r="44" spans="1:7" ht="15" customHeight="1" outlineLevel="3" x14ac:dyDescent="0.35">
      <c r="A44" s="28">
        <v>3</v>
      </c>
      <c r="B44" s="28" t="s">
        <v>265</v>
      </c>
      <c r="C44" s="29" t="s">
        <v>266</v>
      </c>
      <c r="D44" s="30" t="s">
        <v>152</v>
      </c>
      <c r="E44" s="30" t="s">
        <v>256</v>
      </c>
      <c r="F44" s="30" t="s">
        <v>267</v>
      </c>
      <c r="G44" s="31"/>
    </row>
    <row r="45" spans="1:7" ht="15" customHeight="1" outlineLevel="3" x14ac:dyDescent="0.35">
      <c r="A45" s="24">
        <v>3</v>
      </c>
      <c r="B45" s="24" t="s">
        <v>268</v>
      </c>
      <c r="C45" s="25" t="s">
        <v>269</v>
      </c>
      <c r="D45" s="26" t="s">
        <v>152</v>
      </c>
      <c r="E45" s="26" t="s">
        <v>256</v>
      </c>
      <c r="F45" s="26" t="s">
        <v>270</v>
      </c>
      <c r="G45" s="27"/>
    </row>
    <row r="46" spans="1:7" ht="15" customHeight="1" outlineLevel="1" x14ac:dyDescent="0.35">
      <c r="A46" s="16">
        <v>1</v>
      </c>
      <c r="B46" s="16" t="s">
        <v>271</v>
      </c>
      <c r="C46" s="17" t="s">
        <v>272</v>
      </c>
      <c r="D46" s="18" t="s">
        <v>272</v>
      </c>
      <c r="E46" s="18"/>
      <c r="F46" s="18"/>
      <c r="G46" s="19"/>
    </row>
    <row r="47" spans="1:7" ht="15" customHeight="1" outlineLevel="2" x14ac:dyDescent="0.35">
      <c r="A47" s="20">
        <v>2</v>
      </c>
      <c r="B47" s="20" t="s">
        <v>273</v>
      </c>
      <c r="C47" s="21" t="s">
        <v>274</v>
      </c>
      <c r="D47" s="22" t="s">
        <v>272</v>
      </c>
      <c r="E47" s="22" t="s">
        <v>275</v>
      </c>
      <c r="F47" s="22"/>
      <c r="G47" s="23"/>
    </row>
    <row r="48" spans="1:7" ht="15" customHeight="1" outlineLevel="3" x14ac:dyDescent="0.35">
      <c r="A48" s="24">
        <v>3</v>
      </c>
      <c r="B48" s="24" t="s">
        <v>276</v>
      </c>
      <c r="C48" s="25" t="s">
        <v>277</v>
      </c>
      <c r="D48" s="26" t="s">
        <v>272</v>
      </c>
      <c r="E48" s="26" t="s">
        <v>275</v>
      </c>
      <c r="F48" s="26" t="s">
        <v>275</v>
      </c>
      <c r="G48" s="27"/>
    </row>
    <row r="49" spans="1:7" ht="15" customHeight="1" outlineLevel="2" x14ac:dyDescent="0.35">
      <c r="A49" s="20">
        <v>2</v>
      </c>
      <c r="B49" s="20" t="s">
        <v>278</v>
      </c>
      <c r="C49" s="21" t="s">
        <v>274</v>
      </c>
      <c r="D49" s="22" t="s">
        <v>272</v>
      </c>
      <c r="E49" s="22" t="s">
        <v>275</v>
      </c>
      <c r="F49" s="22"/>
      <c r="G49" s="23"/>
    </row>
    <row r="50" spans="1:7" ht="15" customHeight="1" outlineLevel="3" x14ac:dyDescent="0.35">
      <c r="A50" s="24">
        <v>3</v>
      </c>
      <c r="B50" s="24" t="s">
        <v>279</v>
      </c>
      <c r="C50" s="25" t="s">
        <v>277</v>
      </c>
      <c r="D50" s="26" t="s">
        <v>272</v>
      </c>
      <c r="E50" s="26" t="s">
        <v>275</v>
      </c>
      <c r="F50" s="26" t="s">
        <v>275</v>
      </c>
      <c r="G50" s="27"/>
    </row>
    <row r="51" spans="1:7" ht="15" customHeight="1" outlineLevel="3" x14ac:dyDescent="0.35">
      <c r="A51" s="28">
        <v>3</v>
      </c>
      <c r="B51" s="28" t="s">
        <v>280</v>
      </c>
      <c r="C51" s="29" t="s">
        <v>281</v>
      </c>
      <c r="D51" s="30" t="s">
        <v>272</v>
      </c>
      <c r="E51" s="30" t="s">
        <v>275</v>
      </c>
      <c r="F51" s="30" t="s">
        <v>282</v>
      </c>
      <c r="G51" s="31"/>
    </row>
    <row r="52" spans="1:7" ht="15" customHeight="1" outlineLevel="3" x14ac:dyDescent="0.35">
      <c r="A52" s="24">
        <v>3</v>
      </c>
      <c r="B52" s="24" t="s">
        <v>283</v>
      </c>
      <c r="C52" s="25" t="s">
        <v>284</v>
      </c>
      <c r="D52" s="26" t="s">
        <v>272</v>
      </c>
      <c r="E52" s="26" t="s">
        <v>275</v>
      </c>
      <c r="F52" s="26" t="s">
        <v>285</v>
      </c>
      <c r="G52" s="27"/>
    </row>
    <row r="53" spans="1:7" ht="15" customHeight="1" outlineLevel="3" x14ac:dyDescent="0.35">
      <c r="A53" s="28">
        <v>3</v>
      </c>
      <c r="B53" s="28" t="s">
        <v>286</v>
      </c>
      <c r="C53" s="29" t="s">
        <v>287</v>
      </c>
      <c r="D53" s="30" t="s">
        <v>272</v>
      </c>
      <c r="E53" s="30" t="s">
        <v>275</v>
      </c>
      <c r="F53" s="30" t="s">
        <v>288</v>
      </c>
      <c r="G53" s="31"/>
    </row>
    <row r="54" spans="1:7" ht="15" customHeight="1" outlineLevel="3" x14ac:dyDescent="0.35">
      <c r="A54" s="24">
        <v>3</v>
      </c>
      <c r="B54" s="24" t="s">
        <v>289</v>
      </c>
      <c r="C54" s="25" t="s">
        <v>290</v>
      </c>
      <c r="D54" s="26" t="s">
        <v>272</v>
      </c>
      <c r="E54" s="26" t="s">
        <v>275</v>
      </c>
      <c r="F54" s="26" t="s">
        <v>291</v>
      </c>
      <c r="G54" s="27"/>
    </row>
    <row r="55" spans="1:7" ht="15" customHeight="1" outlineLevel="3" x14ac:dyDescent="0.35">
      <c r="A55" s="28">
        <v>3</v>
      </c>
      <c r="B55" s="28" t="s">
        <v>292</v>
      </c>
      <c r="C55" s="29" t="s">
        <v>293</v>
      </c>
      <c r="D55" s="30" t="s">
        <v>272</v>
      </c>
      <c r="E55" s="30" t="s">
        <v>275</v>
      </c>
      <c r="F55" s="30" t="s">
        <v>294</v>
      </c>
      <c r="G55" s="31"/>
    </row>
    <row r="56" spans="1:7" ht="15" customHeight="1" outlineLevel="2" x14ac:dyDescent="0.35">
      <c r="A56" s="20">
        <v>2</v>
      </c>
      <c r="B56" s="20" t="s">
        <v>295</v>
      </c>
      <c r="C56" s="21" t="s">
        <v>296</v>
      </c>
      <c r="D56" s="22" t="s">
        <v>272</v>
      </c>
      <c r="E56" s="22" t="s">
        <v>297</v>
      </c>
      <c r="F56" s="22"/>
      <c r="G56" s="23"/>
    </row>
    <row r="57" spans="1:7" ht="15" customHeight="1" outlineLevel="3" x14ac:dyDescent="0.35">
      <c r="A57" s="24">
        <v>3</v>
      </c>
      <c r="B57" s="24" t="s">
        <v>298</v>
      </c>
      <c r="C57" s="25" t="s">
        <v>299</v>
      </c>
      <c r="D57" s="26" t="s">
        <v>272</v>
      </c>
      <c r="E57" s="26" t="s">
        <v>297</v>
      </c>
      <c r="F57" s="26" t="s">
        <v>297</v>
      </c>
      <c r="G57" s="27"/>
    </row>
    <row r="58" spans="1:7" ht="15" customHeight="1" outlineLevel="3" x14ac:dyDescent="0.35">
      <c r="A58" s="28">
        <v>3</v>
      </c>
      <c r="B58" s="28" t="s">
        <v>300</v>
      </c>
      <c r="C58" s="29" t="s">
        <v>299</v>
      </c>
      <c r="D58" s="30" t="s">
        <v>272</v>
      </c>
      <c r="E58" s="30" t="s">
        <v>297</v>
      </c>
      <c r="F58" s="30" t="s">
        <v>297</v>
      </c>
      <c r="G58" s="31"/>
    </row>
    <row r="59" spans="1:7" ht="15" customHeight="1" outlineLevel="2" x14ac:dyDescent="0.35">
      <c r="A59" s="20">
        <v>2</v>
      </c>
      <c r="B59" s="20" t="s">
        <v>301</v>
      </c>
      <c r="C59" s="21" t="s">
        <v>302</v>
      </c>
      <c r="D59" s="22" t="s">
        <v>272</v>
      </c>
      <c r="E59" s="22" t="s">
        <v>303</v>
      </c>
      <c r="F59" s="22"/>
      <c r="G59" s="23"/>
    </row>
    <row r="60" spans="1:7" ht="15" customHeight="1" outlineLevel="3" x14ac:dyDescent="0.35">
      <c r="A60" s="24">
        <v>3</v>
      </c>
      <c r="B60" s="24" t="s">
        <v>304</v>
      </c>
      <c r="C60" s="25" t="s">
        <v>305</v>
      </c>
      <c r="D60" s="26" t="s">
        <v>272</v>
      </c>
      <c r="E60" s="26" t="s">
        <v>303</v>
      </c>
      <c r="F60" s="26" t="s">
        <v>303</v>
      </c>
      <c r="G60" s="27"/>
    </row>
    <row r="61" spans="1:7" ht="15" customHeight="1" outlineLevel="3" x14ac:dyDescent="0.35">
      <c r="A61" s="28">
        <v>3</v>
      </c>
      <c r="B61" s="28" t="s">
        <v>306</v>
      </c>
      <c r="C61" s="29" t="s">
        <v>307</v>
      </c>
      <c r="D61" s="30" t="s">
        <v>272</v>
      </c>
      <c r="E61" s="30" t="s">
        <v>303</v>
      </c>
      <c r="F61" s="30" t="s">
        <v>308</v>
      </c>
      <c r="G61" s="31"/>
    </row>
    <row r="62" spans="1:7" ht="15" customHeight="1" outlineLevel="3" x14ac:dyDescent="0.35">
      <c r="A62" s="24">
        <v>3</v>
      </c>
      <c r="B62" s="24" t="s">
        <v>309</v>
      </c>
      <c r="C62" s="25" t="s">
        <v>310</v>
      </c>
      <c r="D62" s="26" t="s">
        <v>272</v>
      </c>
      <c r="E62" s="26" t="s">
        <v>303</v>
      </c>
      <c r="F62" s="26" t="s">
        <v>311</v>
      </c>
      <c r="G62" s="27"/>
    </row>
    <row r="63" spans="1:7" ht="15" customHeight="1" outlineLevel="3" x14ac:dyDescent="0.35">
      <c r="A63" s="28">
        <v>3</v>
      </c>
      <c r="B63" s="28" t="s">
        <v>312</v>
      </c>
      <c r="C63" s="29" t="s">
        <v>313</v>
      </c>
      <c r="D63" s="30" t="s">
        <v>272</v>
      </c>
      <c r="E63" s="30" t="s">
        <v>303</v>
      </c>
      <c r="F63" s="30" t="s">
        <v>314</v>
      </c>
      <c r="G63" s="31"/>
    </row>
    <row r="64" spans="1:7" ht="15" customHeight="1" outlineLevel="3" x14ac:dyDescent="0.35">
      <c r="A64" s="24">
        <v>3</v>
      </c>
      <c r="B64" s="24" t="s">
        <v>315</v>
      </c>
      <c r="C64" s="25" t="s">
        <v>316</v>
      </c>
      <c r="D64" s="26" t="s">
        <v>272</v>
      </c>
      <c r="E64" s="26" t="s">
        <v>303</v>
      </c>
      <c r="F64" s="26" t="s">
        <v>317</v>
      </c>
      <c r="G64" s="27"/>
    </row>
    <row r="65" spans="1:7" ht="15" customHeight="1" outlineLevel="2" x14ac:dyDescent="0.35">
      <c r="A65" s="20">
        <v>2</v>
      </c>
      <c r="B65" s="20" t="s">
        <v>318</v>
      </c>
      <c r="C65" s="21" t="s">
        <v>319</v>
      </c>
      <c r="D65" s="22" t="s">
        <v>272</v>
      </c>
      <c r="E65" s="22" t="s">
        <v>320</v>
      </c>
      <c r="F65" s="22"/>
      <c r="G65" s="23"/>
    </row>
    <row r="66" spans="1:7" ht="15" customHeight="1" outlineLevel="3" x14ac:dyDescent="0.35">
      <c r="A66" s="24">
        <v>3</v>
      </c>
      <c r="B66" s="24" t="s">
        <v>321</v>
      </c>
      <c r="C66" s="25" t="s">
        <v>322</v>
      </c>
      <c r="D66" s="26" t="s">
        <v>272</v>
      </c>
      <c r="E66" s="26" t="s">
        <v>320</v>
      </c>
      <c r="F66" s="26" t="s">
        <v>323</v>
      </c>
      <c r="G66" s="27"/>
    </row>
    <row r="67" spans="1:7" ht="15" customHeight="1" outlineLevel="3" x14ac:dyDescent="0.35">
      <c r="A67" s="28">
        <v>3</v>
      </c>
      <c r="B67" s="28" t="s">
        <v>324</v>
      </c>
      <c r="C67" s="29" t="s">
        <v>325</v>
      </c>
      <c r="D67" s="30" t="s">
        <v>272</v>
      </c>
      <c r="E67" s="30" t="s">
        <v>320</v>
      </c>
      <c r="F67" s="30" t="s">
        <v>326</v>
      </c>
      <c r="G67" s="31"/>
    </row>
    <row r="68" spans="1:7" ht="15" customHeight="1" outlineLevel="3" x14ac:dyDescent="0.35">
      <c r="A68" s="24">
        <v>3</v>
      </c>
      <c r="B68" s="24" t="s">
        <v>327</v>
      </c>
      <c r="C68" s="25" t="s">
        <v>328</v>
      </c>
      <c r="D68" s="26" t="s">
        <v>272</v>
      </c>
      <c r="E68" s="26" t="s">
        <v>320</v>
      </c>
      <c r="F68" s="26" t="s">
        <v>329</v>
      </c>
      <c r="G68" s="27"/>
    </row>
    <row r="69" spans="1:7" ht="15" customHeight="1" outlineLevel="2" x14ac:dyDescent="0.35">
      <c r="A69" s="20">
        <v>2</v>
      </c>
      <c r="B69" s="20" t="s">
        <v>330</v>
      </c>
      <c r="C69" s="21" t="s">
        <v>331</v>
      </c>
      <c r="D69" s="22" t="s">
        <v>272</v>
      </c>
      <c r="E69" s="22" t="s">
        <v>332</v>
      </c>
      <c r="F69" s="22"/>
      <c r="G69" s="23"/>
    </row>
    <row r="70" spans="1:7" ht="15" customHeight="1" outlineLevel="3" x14ac:dyDescent="0.35">
      <c r="A70" s="24">
        <v>3</v>
      </c>
      <c r="B70" s="24" t="s">
        <v>333</v>
      </c>
      <c r="C70" s="25" t="s">
        <v>334</v>
      </c>
      <c r="D70" s="26" t="s">
        <v>272</v>
      </c>
      <c r="E70" s="26" t="s">
        <v>332</v>
      </c>
      <c r="F70" s="26" t="s">
        <v>332</v>
      </c>
      <c r="G70" s="27"/>
    </row>
    <row r="71" spans="1:7" ht="15" customHeight="1" outlineLevel="1" x14ac:dyDescent="0.35">
      <c r="A71" s="16">
        <v>1</v>
      </c>
      <c r="B71" s="16" t="s">
        <v>335</v>
      </c>
      <c r="C71" s="17" t="s">
        <v>336</v>
      </c>
      <c r="D71" s="18" t="s">
        <v>336</v>
      </c>
      <c r="E71" s="18"/>
      <c r="F71" s="18"/>
      <c r="G71" s="19"/>
    </row>
    <row r="72" spans="1:7" ht="15" customHeight="1" outlineLevel="2" x14ac:dyDescent="0.35">
      <c r="A72" s="20">
        <v>2</v>
      </c>
      <c r="B72" s="20" t="s">
        <v>337</v>
      </c>
      <c r="C72" s="21" t="s">
        <v>338</v>
      </c>
      <c r="D72" s="22" t="s">
        <v>336</v>
      </c>
      <c r="E72" s="22" t="s">
        <v>339</v>
      </c>
      <c r="F72" s="22"/>
      <c r="G72" s="23"/>
    </row>
    <row r="73" spans="1:7" ht="15" customHeight="1" outlineLevel="3" x14ac:dyDescent="0.35">
      <c r="A73" s="24">
        <v>3</v>
      </c>
      <c r="B73" s="24" t="s">
        <v>340</v>
      </c>
      <c r="C73" s="25" t="s">
        <v>341</v>
      </c>
      <c r="D73" s="26" t="s">
        <v>336</v>
      </c>
      <c r="E73" s="26" t="s">
        <v>339</v>
      </c>
      <c r="F73" s="26" t="s">
        <v>339</v>
      </c>
      <c r="G73" s="27"/>
    </row>
    <row r="74" spans="1:7" ht="15" customHeight="1" outlineLevel="2" x14ac:dyDescent="0.35">
      <c r="A74" s="20">
        <v>2</v>
      </c>
      <c r="B74" s="20" t="s">
        <v>342</v>
      </c>
      <c r="C74" s="21" t="s">
        <v>343</v>
      </c>
      <c r="D74" s="22" t="s">
        <v>336</v>
      </c>
      <c r="E74" s="22" t="s">
        <v>344</v>
      </c>
      <c r="F74" s="22"/>
      <c r="G74" s="23"/>
    </row>
    <row r="75" spans="1:7" ht="15" customHeight="1" outlineLevel="3" x14ac:dyDescent="0.35">
      <c r="A75" s="24">
        <v>3</v>
      </c>
      <c r="B75" s="24" t="s">
        <v>345</v>
      </c>
      <c r="C75" s="25" t="s">
        <v>346</v>
      </c>
      <c r="D75" s="26" t="s">
        <v>336</v>
      </c>
      <c r="E75" s="26" t="s">
        <v>344</v>
      </c>
      <c r="F75" s="26" t="s">
        <v>344</v>
      </c>
      <c r="G75" s="27"/>
    </row>
    <row r="76" spans="1:7" ht="15" customHeight="1" outlineLevel="3" x14ac:dyDescent="0.35">
      <c r="A76" s="28">
        <v>3</v>
      </c>
      <c r="B76" s="28" t="s">
        <v>347</v>
      </c>
      <c r="C76" s="29" t="s">
        <v>348</v>
      </c>
      <c r="D76" s="30" t="s">
        <v>336</v>
      </c>
      <c r="E76" s="30" t="s">
        <v>344</v>
      </c>
      <c r="F76" s="30" t="s">
        <v>349</v>
      </c>
      <c r="G76" s="31"/>
    </row>
    <row r="77" spans="1:7" ht="15" customHeight="1" outlineLevel="3" x14ac:dyDescent="0.35">
      <c r="A77" s="24">
        <v>3</v>
      </c>
      <c r="B77" s="24" t="s">
        <v>350</v>
      </c>
      <c r="C77" s="25" t="s">
        <v>351</v>
      </c>
      <c r="D77" s="26" t="s">
        <v>336</v>
      </c>
      <c r="E77" s="26" t="s">
        <v>344</v>
      </c>
      <c r="F77" s="26" t="s">
        <v>352</v>
      </c>
      <c r="G77" s="27"/>
    </row>
    <row r="78" spans="1:7" ht="15" customHeight="1" outlineLevel="2" x14ac:dyDescent="0.35">
      <c r="A78" s="20">
        <v>2</v>
      </c>
      <c r="B78" s="20" t="s">
        <v>353</v>
      </c>
      <c r="C78" s="21" t="s">
        <v>354</v>
      </c>
      <c r="D78" s="22" t="s">
        <v>336</v>
      </c>
      <c r="E78" s="22" t="s">
        <v>355</v>
      </c>
      <c r="F78" s="22"/>
      <c r="G78" s="23"/>
    </row>
    <row r="79" spans="1:7" ht="15" customHeight="1" outlineLevel="3" x14ac:dyDescent="0.35">
      <c r="A79" s="24">
        <v>3</v>
      </c>
      <c r="B79" s="24" t="s">
        <v>356</v>
      </c>
      <c r="C79" s="25" t="s">
        <v>357</v>
      </c>
      <c r="D79" s="26" t="s">
        <v>336</v>
      </c>
      <c r="E79" s="26" t="s">
        <v>355</v>
      </c>
      <c r="F79" s="26" t="s">
        <v>355</v>
      </c>
      <c r="G79" s="27"/>
    </row>
    <row r="80" spans="1:7" ht="15" customHeight="1" outlineLevel="3" x14ac:dyDescent="0.35">
      <c r="A80" s="28">
        <v>3</v>
      </c>
      <c r="B80" s="28" t="s">
        <v>358</v>
      </c>
      <c r="C80" s="29" t="s">
        <v>359</v>
      </c>
      <c r="D80" s="30" t="s">
        <v>336</v>
      </c>
      <c r="E80" s="30" t="s">
        <v>355</v>
      </c>
      <c r="F80" s="30" t="s">
        <v>360</v>
      </c>
      <c r="G80" s="31"/>
    </row>
    <row r="81" spans="1:7" ht="15" customHeight="1" outlineLevel="3" x14ac:dyDescent="0.35">
      <c r="A81" s="24">
        <v>3</v>
      </c>
      <c r="B81" s="24" t="s">
        <v>361</v>
      </c>
      <c r="C81" s="25" t="s">
        <v>362</v>
      </c>
      <c r="D81" s="26" t="s">
        <v>336</v>
      </c>
      <c r="E81" s="26" t="s">
        <v>355</v>
      </c>
      <c r="F81" s="26" t="s">
        <v>363</v>
      </c>
      <c r="G81" s="27"/>
    </row>
    <row r="82" spans="1:7" ht="15" customHeight="1" outlineLevel="3" x14ac:dyDescent="0.35">
      <c r="A82" s="28">
        <v>3</v>
      </c>
      <c r="B82" s="28" t="s">
        <v>364</v>
      </c>
      <c r="C82" s="29" t="s">
        <v>365</v>
      </c>
      <c r="D82" s="30" t="s">
        <v>336</v>
      </c>
      <c r="E82" s="30" t="s">
        <v>355</v>
      </c>
      <c r="F82" s="30" t="s">
        <v>366</v>
      </c>
      <c r="G82" s="31"/>
    </row>
    <row r="83" spans="1:7" ht="15" customHeight="1" outlineLevel="2" x14ac:dyDescent="0.35">
      <c r="A83" s="20">
        <v>2</v>
      </c>
      <c r="B83" s="20" t="s">
        <v>367</v>
      </c>
      <c r="C83" s="21" t="s">
        <v>368</v>
      </c>
      <c r="D83" s="22" t="s">
        <v>336</v>
      </c>
      <c r="E83" s="22" t="s">
        <v>369</v>
      </c>
      <c r="F83" s="22"/>
      <c r="G83" s="23"/>
    </row>
    <row r="84" spans="1:7" ht="15" customHeight="1" outlineLevel="3" x14ac:dyDescent="0.35">
      <c r="A84" s="24">
        <v>3</v>
      </c>
      <c r="B84" s="24" t="s">
        <v>370</v>
      </c>
      <c r="C84" s="25" t="s">
        <v>371</v>
      </c>
      <c r="D84" s="26" t="s">
        <v>336</v>
      </c>
      <c r="E84" s="26" t="s">
        <v>369</v>
      </c>
      <c r="F84" s="26" t="s">
        <v>369</v>
      </c>
      <c r="G84" s="27"/>
    </row>
    <row r="85" spans="1:7" ht="15" customHeight="1" outlineLevel="3" x14ac:dyDescent="0.35">
      <c r="A85" s="28">
        <v>3</v>
      </c>
      <c r="B85" s="28" t="s">
        <v>372</v>
      </c>
      <c r="C85" s="29" t="s">
        <v>373</v>
      </c>
      <c r="D85" s="30" t="s">
        <v>336</v>
      </c>
      <c r="E85" s="30" t="s">
        <v>369</v>
      </c>
      <c r="F85" s="30" t="s">
        <v>374</v>
      </c>
      <c r="G85" s="31"/>
    </row>
    <row r="86" spans="1:7" ht="15" customHeight="1" outlineLevel="3" x14ac:dyDescent="0.35">
      <c r="A86" s="24">
        <v>3</v>
      </c>
      <c r="B86" s="24" t="s">
        <v>375</v>
      </c>
      <c r="C86" s="25" t="s">
        <v>376</v>
      </c>
      <c r="D86" s="26" t="s">
        <v>336</v>
      </c>
      <c r="E86" s="26" t="s">
        <v>369</v>
      </c>
      <c r="F86" s="26" t="s">
        <v>377</v>
      </c>
      <c r="G86" s="27"/>
    </row>
    <row r="87" spans="1:7" ht="15" customHeight="1" outlineLevel="2" x14ac:dyDescent="0.35">
      <c r="A87" s="20">
        <v>2</v>
      </c>
      <c r="B87" s="20" t="s">
        <v>378</v>
      </c>
      <c r="C87" s="21" t="s">
        <v>379</v>
      </c>
      <c r="D87" s="22" t="s">
        <v>336</v>
      </c>
      <c r="E87" s="22" t="s">
        <v>380</v>
      </c>
      <c r="F87" s="22"/>
      <c r="G87" s="23"/>
    </row>
    <row r="88" spans="1:7" ht="15" customHeight="1" outlineLevel="3" x14ac:dyDescent="0.35">
      <c r="A88" s="24">
        <v>3</v>
      </c>
      <c r="B88" s="24" t="s">
        <v>381</v>
      </c>
      <c r="C88" s="25" t="s">
        <v>382</v>
      </c>
      <c r="D88" s="26" t="s">
        <v>336</v>
      </c>
      <c r="E88" s="26" t="s">
        <v>380</v>
      </c>
      <c r="F88" s="26" t="s">
        <v>380</v>
      </c>
      <c r="G88" s="27"/>
    </row>
    <row r="89" spans="1:7" ht="15" customHeight="1" outlineLevel="3" x14ac:dyDescent="0.35">
      <c r="A89" s="28">
        <v>3</v>
      </c>
      <c r="B89" s="28" t="s">
        <v>383</v>
      </c>
      <c r="C89" s="29" t="s">
        <v>384</v>
      </c>
      <c r="D89" s="30" t="s">
        <v>336</v>
      </c>
      <c r="E89" s="30" t="s">
        <v>380</v>
      </c>
      <c r="F89" s="30" t="s">
        <v>385</v>
      </c>
      <c r="G89" s="31"/>
    </row>
    <row r="90" spans="1:7" ht="15" customHeight="1" outlineLevel="3" x14ac:dyDescent="0.35">
      <c r="A90" s="24">
        <v>3</v>
      </c>
      <c r="B90" s="24" t="s">
        <v>386</v>
      </c>
      <c r="C90" s="25" t="s">
        <v>387</v>
      </c>
      <c r="D90" s="26" t="s">
        <v>336</v>
      </c>
      <c r="E90" s="26" t="s">
        <v>380</v>
      </c>
      <c r="F90" s="26" t="s">
        <v>388</v>
      </c>
      <c r="G90" s="27"/>
    </row>
    <row r="91" spans="1:7" ht="15" customHeight="1" outlineLevel="3" x14ac:dyDescent="0.35">
      <c r="A91" s="28">
        <v>3</v>
      </c>
      <c r="B91" s="28" t="s">
        <v>389</v>
      </c>
      <c r="C91" s="29" t="s">
        <v>390</v>
      </c>
      <c r="D91" s="30" t="s">
        <v>336</v>
      </c>
      <c r="E91" s="30" t="s">
        <v>380</v>
      </c>
      <c r="F91" s="30" t="s">
        <v>391</v>
      </c>
      <c r="G91" s="31"/>
    </row>
    <row r="92" spans="1:7" ht="15" customHeight="1" outlineLevel="3" x14ac:dyDescent="0.35">
      <c r="A92" s="24">
        <v>3</v>
      </c>
      <c r="B92" s="24" t="s">
        <v>392</v>
      </c>
      <c r="C92" s="25" t="s">
        <v>393</v>
      </c>
      <c r="D92" s="26" t="s">
        <v>336</v>
      </c>
      <c r="E92" s="26" t="s">
        <v>380</v>
      </c>
      <c r="F92" s="26" t="s">
        <v>394</v>
      </c>
      <c r="G92" s="27"/>
    </row>
    <row r="93" spans="1:7" ht="15" customHeight="1" outlineLevel="3" x14ac:dyDescent="0.35">
      <c r="A93" s="28">
        <v>3</v>
      </c>
      <c r="B93" s="28" t="s">
        <v>395</v>
      </c>
      <c r="C93" s="29" t="s">
        <v>396</v>
      </c>
      <c r="D93" s="30" t="s">
        <v>336</v>
      </c>
      <c r="E93" s="30" t="s">
        <v>380</v>
      </c>
      <c r="F93" s="30" t="s">
        <v>397</v>
      </c>
      <c r="G93" s="31"/>
    </row>
    <row r="94" spans="1:7" ht="15" customHeight="1" outlineLevel="1" x14ac:dyDescent="0.35">
      <c r="A94" s="16">
        <v>1</v>
      </c>
      <c r="B94" s="16" t="s">
        <v>398</v>
      </c>
      <c r="C94" s="17" t="s">
        <v>399</v>
      </c>
      <c r="D94" s="18" t="s">
        <v>399</v>
      </c>
      <c r="E94" s="18"/>
      <c r="F94" s="18"/>
      <c r="G94" s="19"/>
    </row>
    <row r="95" spans="1:7" ht="15" customHeight="1" outlineLevel="2" x14ac:dyDescent="0.35">
      <c r="A95" s="20">
        <v>2</v>
      </c>
      <c r="B95" s="20" t="s">
        <v>400</v>
      </c>
      <c r="C95" s="21" t="s">
        <v>401</v>
      </c>
      <c r="D95" s="22" t="s">
        <v>399</v>
      </c>
      <c r="E95" s="22" t="s">
        <v>399</v>
      </c>
      <c r="F95" s="22"/>
      <c r="G95" s="23"/>
    </row>
    <row r="96" spans="1:7" ht="15" customHeight="1" outlineLevel="3" x14ac:dyDescent="0.35">
      <c r="A96" s="24">
        <v>3</v>
      </c>
      <c r="B96" s="24" t="s">
        <v>402</v>
      </c>
      <c r="C96" s="25" t="s">
        <v>403</v>
      </c>
      <c r="D96" s="26" t="s">
        <v>399</v>
      </c>
      <c r="E96" s="26" t="s">
        <v>399</v>
      </c>
      <c r="F96" s="26" t="s">
        <v>399</v>
      </c>
      <c r="G96" s="27"/>
    </row>
    <row r="97" spans="1:7" ht="15" customHeight="1" outlineLevel="2" x14ac:dyDescent="0.35">
      <c r="A97" s="20">
        <v>2</v>
      </c>
      <c r="B97" s="20" t="s">
        <v>404</v>
      </c>
      <c r="C97" s="21" t="s">
        <v>405</v>
      </c>
      <c r="D97" s="22" t="s">
        <v>399</v>
      </c>
      <c r="E97" s="22" t="s">
        <v>406</v>
      </c>
      <c r="F97" s="22"/>
      <c r="G97" s="23"/>
    </row>
    <row r="98" spans="1:7" ht="15" customHeight="1" outlineLevel="3" x14ac:dyDescent="0.35">
      <c r="A98" s="24">
        <v>3</v>
      </c>
      <c r="B98" s="24" t="s">
        <v>407</v>
      </c>
      <c r="C98" s="25" t="s">
        <v>408</v>
      </c>
      <c r="D98" s="26" t="s">
        <v>399</v>
      </c>
      <c r="E98" s="26" t="s">
        <v>406</v>
      </c>
      <c r="F98" s="26" t="s">
        <v>406</v>
      </c>
      <c r="G98" s="27"/>
    </row>
    <row r="99" spans="1:7" ht="15" customHeight="1" outlineLevel="2" x14ac:dyDescent="0.35">
      <c r="A99" s="20">
        <v>2</v>
      </c>
      <c r="B99" s="20" t="s">
        <v>409</v>
      </c>
      <c r="C99" s="21" t="s">
        <v>410</v>
      </c>
      <c r="D99" s="22" t="s">
        <v>399</v>
      </c>
      <c r="E99" s="22" t="s">
        <v>411</v>
      </c>
      <c r="F99" s="22"/>
      <c r="G99" s="23"/>
    </row>
    <row r="100" spans="1:7" ht="15" customHeight="1" outlineLevel="3" x14ac:dyDescent="0.35">
      <c r="A100" s="24">
        <v>3</v>
      </c>
      <c r="B100" s="24" t="s">
        <v>412</v>
      </c>
      <c r="C100" s="25" t="s">
        <v>413</v>
      </c>
      <c r="D100" s="26" t="s">
        <v>399</v>
      </c>
      <c r="E100" s="26" t="s">
        <v>411</v>
      </c>
      <c r="F100" s="26" t="s">
        <v>411</v>
      </c>
      <c r="G100" s="27"/>
    </row>
    <row r="101" spans="1:7" ht="15" customHeight="1" outlineLevel="2" x14ac:dyDescent="0.35">
      <c r="A101" s="20">
        <v>2</v>
      </c>
      <c r="B101" s="20" t="s">
        <v>414</v>
      </c>
      <c r="C101" s="21" t="s">
        <v>415</v>
      </c>
      <c r="D101" s="22" t="s">
        <v>399</v>
      </c>
      <c r="E101" s="22" t="s">
        <v>416</v>
      </c>
      <c r="F101" s="22"/>
      <c r="G101" s="23"/>
    </row>
    <row r="102" spans="1:7" ht="15" customHeight="1" outlineLevel="3" x14ac:dyDescent="0.35">
      <c r="A102" s="24">
        <v>3</v>
      </c>
      <c r="B102" s="24" t="s">
        <v>417</v>
      </c>
      <c r="C102" s="25" t="s">
        <v>418</v>
      </c>
      <c r="D102" s="26" t="s">
        <v>399</v>
      </c>
      <c r="E102" s="26" t="s">
        <v>416</v>
      </c>
      <c r="F102" s="26" t="s">
        <v>416</v>
      </c>
      <c r="G102" s="27"/>
    </row>
    <row r="103" spans="1:7" ht="15" customHeight="1" outlineLevel="2" x14ac:dyDescent="0.35">
      <c r="A103" s="20">
        <v>2</v>
      </c>
      <c r="B103" s="20" t="s">
        <v>419</v>
      </c>
      <c r="C103" s="21" t="s">
        <v>420</v>
      </c>
      <c r="D103" s="22" t="s">
        <v>399</v>
      </c>
      <c r="E103" s="22" t="s">
        <v>421</v>
      </c>
      <c r="F103" s="22"/>
      <c r="G103" s="23"/>
    </row>
    <row r="104" spans="1:7" ht="15" customHeight="1" outlineLevel="3" x14ac:dyDescent="0.35">
      <c r="A104" s="24">
        <v>3</v>
      </c>
      <c r="B104" s="24" t="s">
        <v>422</v>
      </c>
      <c r="C104" s="25" t="s">
        <v>423</v>
      </c>
      <c r="D104" s="26" t="s">
        <v>399</v>
      </c>
      <c r="E104" s="26" t="s">
        <v>421</v>
      </c>
      <c r="F104" s="26" t="s">
        <v>421</v>
      </c>
      <c r="G104" s="27"/>
    </row>
    <row r="105" spans="1:7" ht="15" customHeight="1" outlineLevel="2" x14ac:dyDescent="0.35">
      <c r="A105" s="20">
        <v>2</v>
      </c>
      <c r="B105" s="20" t="s">
        <v>424</v>
      </c>
      <c r="C105" s="21" t="s">
        <v>425</v>
      </c>
      <c r="D105" s="22" t="s">
        <v>399</v>
      </c>
      <c r="E105" s="22" t="s">
        <v>426</v>
      </c>
      <c r="F105" s="22"/>
      <c r="G105" s="23"/>
    </row>
    <row r="106" spans="1:7" ht="15" customHeight="1" outlineLevel="3" x14ac:dyDescent="0.35">
      <c r="A106" s="24">
        <v>3</v>
      </c>
      <c r="B106" s="24" t="s">
        <v>427</v>
      </c>
      <c r="C106" s="25" t="s">
        <v>428</v>
      </c>
      <c r="D106" s="26" t="s">
        <v>399</v>
      </c>
      <c r="E106" s="26" t="s">
        <v>426</v>
      </c>
      <c r="F106" s="26" t="s">
        <v>426</v>
      </c>
      <c r="G106" s="27"/>
    </row>
    <row r="107" spans="1:7" ht="15" customHeight="1" outlineLevel="2" x14ac:dyDescent="0.35">
      <c r="A107" s="20">
        <v>2</v>
      </c>
      <c r="B107" s="20" t="s">
        <v>429</v>
      </c>
      <c r="C107" s="21" t="s">
        <v>430</v>
      </c>
      <c r="D107" s="22" t="s">
        <v>399</v>
      </c>
      <c r="E107" s="22" t="s">
        <v>431</v>
      </c>
      <c r="F107" s="22"/>
      <c r="G107" s="23"/>
    </row>
    <row r="108" spans="1:7" ht="15" customHeight="1" outlineLevel="3" x14ac:dyDescent="0.35">
      <c r="A108" s="24">
        <v>3</v>
      </c>
      <c r="B108" s="24" t="s">
        <v>432</v>
      </c>
      <c r="C108" s="25" t="s">
        <v>433</v>
      </c>
      <c r="D108" s="26" t="s">
        <v>399</v>
      </c>
      <c r="E108" s="26" t="s">
        <v>431</v>
      </c>
      <c r="F108" s="26" t="s">
        <v>431</v>
      </c>
      <c r="G108" s="27"/>
    </row>
    <row r="109" spans="1:7" ht="15" customHeight="1" outlineLevel="1" x14ac:dyDescent="0.35">
      <c r="A109" s="16">
        <v>1</v>
      </c>
      <c r="B109" s="16" t="s">
        <v>434</v>
      </c>
      <c r="C109" s="17" t="s">
        <v>435</v>
      </c>
      <c r="D109" s="18" t="s">
        <v>435</v>
      </c>
      <c r="E109" s="18"/>
      <c r="F109" s="18"/>
      <c r="G109" s="19"/>
    </row>
    <row r="110" spans="1:7" ht="15" customHeight="1" outlineLevel="2" x14ac:dyDescent="0.35">
      <c r="A110" s="20">
        <v>2</v>
      </c>
      <c r="B110" s="20" t="s">
        <v>436</v>
      </c>
      <c r="C110" s="21" t="s">
        <v>437</v>
      </c>
      <c r="D110" s="22" t="s">
        <v>435</v>
      </c>
      <c r="E110" s="22" t="s">
        <v>435</v>
      </c>
      <c r="F110" s="22"/>
      <c r="G110" s="23"/>
    </row>
    <row r="111" spans="1:7" ht="15" customHeight="1" outlineLevel="3" x14ac:dyDescent="0.35">
      <c r="A111" s="24">
        <v>3</v>
      </c>
      <c r="B111" s="24" t="s">
        <v>438</v>
      </c>
      <c r="C111" s="25" t="s">
        <v>439</v>
      </c>
      <c r="D111" s="26" t="s">
        <v>435</v>
      </c>
      <c r="E111" s="26" t="s">
        <v>435</v>
      </c>
      <c r="F111" s="26" t="s">
        <v>435</v>
      </c>
      <c r="G111" s="27"/>
    </row>
    <row r="112" spans="1:7" ht="15" customHeight="1" outlineLevel="2" x14ac:dyDescent="0.35">
      <c r="A112" s="20">
        <v>2</v>
      </c>
      <c r="B112" s="20" t="s">
        <v>440</v>
      </c>
      <c r="C112" s="21" t="s">
        <v>441</v>
      </c>
      <c r="D112" s="22" t="s">
        <v>435</v>
      </c>
      <c r="E112" s="22" t="s">
        <v>442</v>
      </c>
      <c r="F112" s="22"/>
      <c r="G112" s="23"/>
    </row>
    <row r="113" spans="1:7" ht="15" customHeight="1" outlineLevel="3" x14ac:dyDescent="0.35">
      <c r="A113" s="24">
        <v>3</v>
      </c>
      <c r="B113" s="24" t="s">
        <v>443</v>
      </c>
      <c r="C113" s="25" t="s">
        <v>444</v>
      </c>
      <c r="D113" s="26" t="s">
        <v>435</v>
      </c>
      <c r="E113" s="26" t="s">
        <v>442</v>
      </c>
      <c r="F113" s="26" t="s">
        <v>442</v>
      </c>
      <c r="G113" s="27"/>
    </row>
    <row r="114" spans="1:7" ht="15" customHeight="1" outlineLevel="2" x14ac:dyDescent="0.35">
      <c r="A114" s="20">
        <v>2</v>
      </c>
      <c r="B114" s="20" t="s">
        <v>445</v>
      </c>
      <c r="C114" s="21" t="s">
        <v>446</v>
      </c>
      <c r="D114" s="22" t="s">
        <v>435</v>
      </c>
      <c r="E114" s="22" t="s">
        <v>447</v>
      </c>
      <c r="F114" s="22"/>
      <c r="G114" s="23"/>
    </row>
    <row r="115" spans="1:7" ht="15" customHeight="1" outlineLevel="3" x14ac:dyDescent="0.35">
      <c r="A115" s="24">
        <v>3</v>
      </c>
      <c r="B115" s="24" t="s">
        <v>448</v>
      </c>
      <c r="C115" s="25" t="s">
        <v>449</v>
      </c>
      <c r="D115" s="26" t="s">
        <v>435</v>
      </c>
      <c r="E115" s="26" t="s">
        <v>447</v>
      </c>
      <c r="F115" s="26" t="s">
        <v>447</v>
      </c>
      <c r="G115" s="27"/>
    </row>
    <row r="116" spans="1:7" ht="15" customHeight="1" outlineLevel="2" x14ac:dyDescent="0.35">
      <c r="A116" s="20">
        <v>2</v>
      </c>
      <c r="B116" s="20" t="s">
        <v>450</v>
      </c>
      <c r="C116" s="21" t="s">
        <v>451</v>
      </c>
      <c r="D116" s="22" t="s">
        <v>435</v>
      </c>
      <c r="E116" s="22" t="s">
        <v>452</v>
      </c>
      <c r="F116" s="22"/>
      <c r="G116" s="23"/>
    </row>
    <row r="117" spans="1:7" ht="15" customHeight="1" outlineLevel="3" x14ac:dyDescent="0.35">
      <c r="A117" s="24">
        <v>3</v>
      </c>
      <c r="B117" s="24" t="s">
        <v>453</v>
      </c>
      <c r="C117" s="25" t="s">
        <v>454</v>
      </c>
      <c r="D117" s="26" t="s">
        <v>435</v>
      </c>
      <c r="E117" s="26" t="s">
        <v>452</v>
      </c>
      <c r="F117" s="26" t="s">
        <v>452</v>
      </c>
      <c r="G117" s="27"/>
    </row>
    <row r="118" spans="1:7" ht="15" customHeight="1" outlineLevel="2" x14ac:dyDescent="0.35">
      <c r="A118" s="20">
        <v>2</v>
      </c>
      <c r="B118" s="20" t="s">
        <v>455</v>
      </c>
      <c r="C118" s="21" t="s">
        <v>456</v>
      </c>
      <c r="D118" s="22" t="s">
        <v>435</v>
      </c>
      <c r="E118" s="22" t="s">
        <v>457</v>
      </c>
      <c r="F118" s="22"/>
      <c r="G118" s="23"/>
    </row>
    <row r="119" spans="1:7" ht="15" customHeight="1" outlineLevel="3" x14ac:dyDescent="0.35">
      <c r="A119" s="24">
        <v>3</v>
      </c>
      <c r="B119" s="24" t="s">
        <v>458</v>
      </c>
      <c r="C119" s="25" t="s">
        <v>459</v>
      </c>
      <c r="D119" s="26" t="s">
        <v>435</v>
      </c>
      <c r="E119" s="26" t="s">
        <v>457</v>
      </c>
      <c r="F119" s="26" t="s">
        <v>457</v>
      </c>
      <c r="G119" s="27"/>
    </row>
    <row r="120" spans="1:7" ht="15" customHeight="1" outlineLevel="2" x14ac:dyDescent="0.35">
      <c r="A120" s="20">
        <v>2</v>
      </c>
      <c r="B120" s="20" t="s">
        <v>460</v>
      </c>
      <c r="C120" s="21" t="s">
        <v>461</v>
      </c>
      <c r="D120" s="22" t="s">
        <v>435</v>
      </c>
      <c r="E120" s="22" t="s">
        <v>462</v>
      </c>
      <c r="F120" s="22"/>
      <c r="G120" s="23"/>
    </row>
    <row r="121" spans="1:7" ht="15" customHeight="1" outlineLevel="3" x14ac:dyDescent="0.35">
      <c r="A121" s="24">
        <v>3</v>
      </c>
      <c r="B121" s="24" t="s">
        <v>463</v>
      </c>
      <c r="C121" s="25" t="s">
        <v>464</v>
      </c>
      <c r="D121" s="26" t="s">
        <v>435</v>
      </c>
      <c r="E121" s="26" t="s">
        <v>462</v>
      </c>
      <c r="F121" s="26" t="s">
        <v>462</v>
      </c>
      <c r="G121" s="27"/>
    </row>
    <row r="122" spans="1:7" ht="15" customHeight="1" outlineLevel="2" x14ac:dyDescent="0.35">
      <c r="A122" s="20">
        <v>2</v>
      </c>
      <c r="B122" s="20" t="s">
        <v>465</v>
      </c>
      <c r="C122" s="21" t="s">
        <v>466</v>
      </c>
      <c r="D122" s="22" t="s">
        <v>435</v>
      </c>
      <c r="E122" s="22" t="s">
        <v>467</v>
      </c>
      <c r="F122" s="22"/>
      <c r="G122" s="23"/>
    </row>
    <row r="123" spans="1:7" ht="15" customHeight="1" outlineLevel="3" x14ac:dyDescent="0.35">
      <c r="A123" s="24">
        <v>3</v>
      </c>
      <c r="B123" s="24" t="s">
        <v>468</v>
      </c>
      <c r="C123" s="25" t="s">
        <v>469</v>
      </c>
      <c r="D123" s="26" t="s">
        <v>435</v>
      </c>
      <c r="E123" s="26" t="s">
        <v>467</v>
      </c>
      <c r="F123" s="26" t="s">
        <v>467</v>
      </c>
      <c r="G123" s="27"/>
    </row>
    <row r="124" spans="1:7" ht="15" customHeight="1" outlineLevel="2" x14ac:dyDescent="0.35">
      <c r="A124" s="20">
        <v>2</v>
      </c>
      <c r="B124" s="20" t="s">
        <v>470</v>
      </c>
      <c r="C124" s="21" t="s">
        <v>471</v>
      </c>
      <c r="D124" s="22" t="s">
        <v>435</v>
      </c>
      <c r="E124" s="22" t="s">
        <v>472</v>
      </c>
      <c r="F124" s="22"/>
      <c r="G124" s="23"/>
    </row>
    <row r="125" spans="1:7" ht="15" customHeight="1" outlineLevel="3" x14ac:dyDescent="0.35">
      <c r="A125" s="24">
        <v>3</v>
      </c>
      <c r="B125" s="24" t="s">
        <v>473</v>
      </c>
      <c r="C125" s="25" t="s">
        <v>474</v>
      </c>
      <c r="D125" s="26" t="s">
        <v>435</v>
      </c>
      <c r="E125" s="26" t="s">
        <v>472</v>
      </c>
      <c r="F125" s="26" t="s">
        <v>472</v>
      </c>
      <c r="G125" s="27"/>
    </row>
    <row r="126" spans="1:7" ht="15" customHeight="1" outlineLevel="1" x14ac:dyDescent="0.35">
      <c r="A126" s="16">
        <v>1</v>
      </c>
      <c r="B126" s="16" t="s">
        <v>475</v>
      </c>
      <c r="C126" s="17" t="s">
        <v>476</v>
      </c>
      <c r="D126" s="18" t="s">
        <v>476</v>
      </c>
      <c r="E126" s="18"/>
      <c r="F126" s="18"/>
      <c r="G126" s="19"/>
    </row>
    <row r="127" spans="1:7" ht="15" customHeight="1" outlineLevel="2" x14ac:dyDescent="0.35">
      <c r="A127" s="20">
        <v>2</v>
      </c>
      <c r="B127" s="20" t="s">
        <v>477</v>
      </c>
      <c r="C127" s="21" t="s">
        <v>478</v>
      </c>
      <c r="D127" s="22" t="s">
        <v>476</v>
      </c>
      <c r="E127" s="22" t="s">
        <v>479</v>
      </c>
      <c r="F127" s="22"/>
      <c r="G127" s="23"/>
    </row>
    <row r="128" spans="1:7" ht="15" customHeight="1" outlineLevel="3" x14ac:dyDescent="0.35">
      <c r="A128" s="24">
        <v>3</v>
      </c>
      <c r="B128" s="24" t="s">
        <v>480</v>
      </c>
      <c r="C128" s="25" t="s">
        <v>481</v>
      </c>
      <c r="D128" s="26" t="s">
        <v>476</v>
      </c>
      <c r="E128" s="26" t="s">
        <v>479</v>
      </c>
      <c r="F128" s="26" t="s">
        <v>479</v>
      </c>
      <c r="G128" s="27"/>
    </row>
    <row r="129" spans="1:7" ht="15" customHeight="1" outlineLevel="2" x14ac:dyDescent="0.35">
      <c r="A129" s="20">
        <v>2</v>
      </c>
      <c r="B129" s="20" t="s">
        <v>482</v>
      </c>
      <c r="C129" s="21" t="s">
        <v>483</v>
      </c>
      <c r="D129" s="22" t="s">
        <v>476</v>
      </c>
      <c r="E129" s="22" t="s">
        <v>484</v>
      </c>
      <c r="F129" s="22"/>
      <c r="G129" s="23"/>
    </row>
    <row r="130" spans="1:7" ht="15" customHeight="1" outlineLevel="3" x14ac:dyDescent="0.35">
      <c r="A130" s="24">
        <v>3</v>
      </c>
      <c r="B130" s="24" t="s">
        <v>485</v>
      </c>
      <c r="C130" s="25" t="s">
        <v>486</v>
      </c>
      <c r="D130" s="26" t="s">
        <v>476</v>
      </c>
      <c r="E130" s="26" t="s">
        <v>484</v>
      </c>
      <c r="F130" s="26" t="s">
        <v>484</v>
      </c>
      <c r="G130" s="27"/>
    </row>
    <row r="131" spans="1:7" ht="15" customHeight="1" outlineLevel="2" x14ac:dyDescent="0.35">
      <c r="A131" s="20">
        <v>2</v>
      </c>
      <c r="B131" s="20" t="s">
        <v>487</v>
      </c>
      <c r="C131" s="21" t="s">
        <v>488</v>
      </c>
      <c r="D131" s="22" t="s">
        <v>476</v>
      </c>
      <c r="E131" s="22" t="s">
        <v>489</v>
      </c>
      <c r="F131" s="22"/>
      <c r="G131" s="23"/>
    </row>
    <row r="132" spans="1:7" ht="15" customHeight="1" outlineLevel="3" x14ac:dyDescent="0.35">
      <c r="A132" s="24">
        <v>3</v>
      </c>
      <c r="B132" s="24" t="s">
        <v>490</v>
      </c>
      <c r="C132" s="25" t="s">
        <v>491</v>
      </c>
      <c r="D132" s="26" t="s">
        <v>476</v>
      </c>
      <c r="E132" s="26" t="s">
        <v>489</v>
      </c>
      <c r="F132" s="26" t="s">
        <v>489</v>
      </c>
      <c r="G132" s="27"/>
    </row>
    <row r="133" spans="1:7" ht="15" customHeight="1" outlineLevel="2" x14ac:dyDescent="0.35">
      <c r="A133" s="20">
        <v>2</v>
      </c>
      <c r="B133" s="20" t="s">
        <v>492</v>
      </c>
      <c r="C133" s="21" t="s">
        <v>493</v>
      </c>
      <c r="D133" s="22" t="s">
        <v>476</v>
      </c>
      <c r="E133" s="22" t="s">
        <v>494</v>
      </c>
      <c r="F133" s="22"/>
      <c r="G133" s="23"/>
    </row>
    <row r="134" spans="1:7" ht="15" customHeight="1" outlineLevel="3" x14ac:dyDescent="0.35">
      <c r="A134" s="24">
        <v>3</v>
      </c>
      <c r="B134" s="24" t="s">
        <v>495</v>
      </c>
      <c r="C134" s="25" t="s">
        <v>496</v>
      </c>
      <c r="D134" s="26" t="s">
        <v>476</v>
      </c>
      <c r="E134" s="26" t="s">
        <v>494</v>
      </c>
      <c r="F134" s="26" t="s">
        <v>497</v>
      </c>
      <c r="G134" s="27"/>
    </row>
    <row r="135" spans="1:7" ht="15" customHeight="1" outlineLevel="3" x14ac:dyDescent="0.35">
      <c r="A135" s="28">
        <v>3</v>
      </c>
      <c r="B135" s="28" t="s">
        <v>498</v>
      </c>
      <c r="C135" s="29" t="s">
        <v>499</v>
      </c>
      <c r="D135" s="30" t="s">
        <v>476</v>
      </c>
      <c r="E135" s="30" t="s">
        <v>494</v>
      </c>
      <c r="F135" s="30" t="s">
        <v>500</v>
      </c>
      <c r="G135" s="31"/>
    </row>
    <row r="136" spans="1:7" ht="15" customHeight="1" outlineLevel="2" x14ac:dyDescent="0.35">
      <c r="A136" s="20">
        <v>2</v>
      </c>
      <c r="B136" s="20" t="s">
        <v>501</v>
      </c>
      <c r="C136" s="21" t="s">
        <v>502</v>
      </c>
      <c r="D136" s="22" t="s">
        <v>476</v>
      </c>
      <c r="E136" s="22" t="s">
        <v>503</v>
      </c>
      <c r="F136" s="22"/>
      <c r="G136" s="23"/>
    </row>
    <row r="137" spans="1:7" ht="15" customHeight="1" outlineLevel="3" x14ac:dyDescent="0.35">
      <c r="A137" s="24">
        <v>3</v>
      </c>
      <c r="B137" s="24" t="s">
        <v>504</v>
      </c>
      <c r="C137" s="25" t="s">
        <v>505</v>
      </c>
      <c r="D137" s="26" t="s">
        <v>476</v>
      </c>
      <c r="E137" s="26" t="s">
        <v>503</v>
      </c>
      <c r="F137" s="26" t="s">
        <v>503</v>
      </c>
      <c r="G137" s="27"/>
    </row>
  </sheetData>
  <autoFilter ref="A1:G13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Data</vt:lpstr>
      <vt:lpstr>Salary History</vt:lpstr>
      <vt:lpstr>Monthly Budget Control</vt:lpstr>
      <vt:lpstr>Monthly Release</vt:lpstr>
      <vt:lpstr>Cost Center 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Josef Schaetti</cp:lastModifiedBy>
  <dcterms:created xsi:type="dcterms:W3CDTF">2026-02-27T12:36:13Z</dcterms:created>
  <dcterms:modified xsi:type="dcterms:W3CDTF">2026-04-22T12:14:01Z</dcterms:modified>
</cp:coreProperties>
</file>