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mycode\Python\HR\"/>
    </mc:Choice>
  </mc:AlternateContent>
  <xr:revisionPtr revIDLastSave="0" documentId="8_{FF309FBC-FF96-49F7-8BE9-71A7963B7026}" xr6:coauthVersionLast="47" xr6:coauthVersionMax="47" xr10:uidLastSave="{00000000-0000-0000-0000-000000000000}"/>
  <bookViews>
    <workbookView xWindow="-31060" yWindow="2560" windowWidth="25800" windowHeight="9960" tabRatio="500" firstSheet="1" activeTab="6" xr2:uid="{00000000-000D-0000-FFFF-FFFF00000000}"/>
  </bookViews>
  <sheets>
    <sheet name="Overview" sheetId="1" r:id="rId1"/>
    <sheet name="Production" sheetId="2" r:id="rId2"/>
    <sheet name="Engineering" sheetId="3" r:id="rId3"/>
    <sheet name="Quality" sheetId="4" r:id="rId4"/>
    <sheet name="Admin" sheetId="5" r:id="rId5"/>
    <sheet name="Wage Band Overview" sheetId="6" r:id="rId6"/>
    <sheet name="Qualification Matrix" sheetId="7" r:id="rId7"/>
    <sheet name="HR Lookup" sheetId="8" r:id="rId8"/>
    <sheet name="HR Candidate Assessment" sheetId="9" r:id="rId9"/>
  </sheets>
  <definedNames>
    <definedName name="_xlnm._FilterDatabase" localSheetId="1" hidden="1">Production!$A$4:$O$113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8" i="9" l="1"/>
  <c r="G16" i="9"/>
  <c r="E16" i="9"/>
  <c r="E19" i="9" s="1"/>
  <c r="C16" i="9"/>
  <c r="C13" i="9"/>
  <c r="C12" i="9"/>
  <c r="C19" i="9" l="1"/>
</calcChain>
</file>

<file path=xl/sharedStrings.xml><?xml version="1.0" encoding="utf-8"?>
<sst xmlns="http://schemas.openxmlformats.org/spreadsheetml/2006/main" count="2363" uniqueCount="739">
  <si>
    <t>Glatec EOOD – Wage Band System | Employee Band Position Overview | Feb 2026</t>
  </si>
  <si>
    <t>Total: 152  |  ⚠ Below Min: 4  |  ▲ Below Target: 18  |  ✓/★ On/Above Target: 125  |  – No data: 5</t>
  </si>
  <si>
    <t>Section</t>
  </si>
  <si>
    <t>Department</t>
  </si>
  <si>
    <t>Employees</t>
  </si>
  <si>
    <t>⚠ Below Min</t>
  </si>
  <si>
    <t>▲ Below Target</t>
  </si>
  <si>
    <t>✓ On/Above Target</t>
  </si>
  <si>
    <t>– No Data</t>
  </si>
  <si>
    <t>% At/Above Target</t>
  </si>
  <si>
    <t>Status</t>
  </si>
  <si>
    <t>Production</t>
  </si>
  <si>
    <t>Welding + Injection</t>
  </si>
  <si>
    <t>–</t>
  </si>
  <si>
    <t>67%</t>
  </si>
  <si>
    <t>🟢 OK</t>
  </si>
  <si>
    <t>Machining</t>
  </si>
  <si>
    <t>70%</t>
  </si>
  <si>
    <t>🔴 Urgent – Below Min</t>
  </si>
  <si>
    <t>Toolroom</t>
  </si>
  <si>
    <t>62%</t>
  </si>
  <si>
    <t>🟡 Review – Many Below Target</t>
  </si>
  <si>
    <t>Assembly</t>
  </si>
  <si>
    <t>93%</t>
  </si>
  <si>
    <t>Pressing</t>
  </si>
  <si>
    <t>79%</t>
  </si>
  <si>
    <t>Engineering</t>
  </si>
  <si>
    <t>Engineering / Automation</t>
  </si>
  <si>
    <t>100%</t>
  </si>
  <si>
    <t>Quality</t>
  </si>
  <si>
    <t>Admin</t>
  </si>
  <si>
    <t>Warehouse</t>
  </si>
  <si>
    <t>75%</t>
  </si>
  <si>
    <t>Shipping</t>
  </si>
  <si>
    <t>Transport</t>
  </si>
  <si>
    <t>Administration</t>
  </si>
  <si>
    <t>76%</t>
  </si>
  <si>
    <t>TOTAL</t>
  </si>
  <si>
    <t>82%</t>
  </si>
  <si>
    <t>Glatec EOOD – Production | Employee Position in Wage Band | Feb 2026</t>
  </si>
  <si>
    <t>Actual = Сума за получаване (total net payout EUR). ⚠ BELOW MIN = urgent contract review. ▲ Below Target = development needed. ✓ On/Above Target = within band. ★ Above Max = review/reclassify. Surcharge A=10% B=5% C=0% already included in all values.</t>
  </si>
  <si>
    <t>#</t>
  </si>
  <si>
    <t>ERP ID</t>
  </si>
  <si>
    <t>BG Name</t>
  </si>
  <si>
    <t>EN Name</t>
  </si>
  <si>
    <t>BG Title (Payroll)</t>
  </si>
  <si>
    <t>Band
Code</t>
  </si>
  <si>
    <t>EN Title (Band)</t>
  </si>
  <si>
    <t>Sur-
charge</t>
  </si>
  <si>
    <t>Min
Net €</t>
  </si>
  <si>
    <t>Target
Net €</t>
  </si>
  <si>
    <t>Max
Net €</t>
  </si>
  <si>
    <t>Actual
Net €</t>
  </si>
  <si>
    <t>Band Position</t>
  </si>
  <si>
    <t>Bar (Min→Max)</t>
  </si>
  <si>
    <t>CC</t>
  </si>
  <si>
    <t xml:space="preserve">  ▶  Welding + Injection</t>
  </si>
  <si>
    <t>147</t>
  </si>
  <si>
    <t>Организатор Отдел</t>
  </si>
  <si>
    <t>G_WE</t>
  </si>
  <si>
    <t>Section Leader – Welding</t>
  </si>
  <si>
    <t>A</t>
  </si>
  <si>
    <t>★ Above Max</t>
  </si>
  <si>
    <t>███████████████ 100%</t>
  </si>
  <si>
    <t>1400</t>
  </si>
  <si>
    <t>3</t>
  </si>
  <si>
    <t>Заварчик</t>
  </si>
  <si>
    <t>O2_WE</t>
  </si>
  <si>
    <t>Welding Operator Gr.2</t>
  </si>
  <si>
    <t>█████████████░░ 90%</t>
  </si>
  <si>
    <t>1480</t>
  </si>
  <si>
    <t>45</t>
  </si>
  <si>
    <t>Оператор Робот</t>
  </si>
  <si>
    <t>O1_WE</t>
  </si>
  <si>
    <t>Welding Operator Gr.1</t>
  </si>
  <si>
    <t>██████████░░░░░ 65%</t>
  </si>
  <si>
    <t>1420</t>
  </si>
  <si>
    <t>105</t>
  </si>
  <si>
    <t>███████████░░░░ 73%</t>
  </si>
  <si>
    <t>129</t>
  </si>
  <si>
    <t>Шлосер</t>
  </si>
  <si>
    <t>████░░░░░░░░░░░ 26%</t>
  </si>
  <si>
    <t>1488</t>
  </si>
  <si>
    <t>364</t>
  </si>
  <si>
    <t>Настройчик Шприцмаш.</t>
  </si>
  <si>
    <t>E_IM</t>
  </si>
  <si>
    <t>Setter – Injection Moulding</t>
  </si>
  <si>
    <t>B</t>
  </si>
  <si>
    <t>█████████░░░░░░ 58%</t>
  </si>
  <si>
    <t>1800</t>
  </si>
  <si>
    <t>317</t>
  </si>
  <si>
    <t>Оператор Шприцмашини</t>
  </si>
  <si>
    <t>O1_IM</t>
  </si>
  <si>
    <t>Injection Operator Gr.1</t>
  </si>
  <si>
    <t>122</t>
  </si>
  <si>
    <t>██████████████░ 96%</t>
  </si>
  <si>
    <t>305</t>
  </si>
  <si>
    <t>Настройчик Шприцмашини</t>
  </si>
  <si>
    <t>████████░░░░░░░ 52%</t>
  </si>
  <si>
    <t xml:space="preserve">  ▶  Machining</t>
  </si>
  <si>
    <t>184</t>
  </si>
  <si>
    <t>Ръководител Звено</t>
  </si>
  <si>
    <t>G_MC</t>
  </si>
  <si>
    <t>Section Leader – Machining</t>
  </si>
  <si>
    <t>███████████░░░░ 74%</t>
  </si>
  <si>
    <t>1340</t>
  </si>
  <si>
    <t>345</t>
  </si>
  <si>
    <t>Оператор Мм</t>
  </si>
  <si>
    <t>O1_MC</t>
  </si>
  <si>
    <t>Machining Operator Gr.1</t>
  </si>
  <si>
    <t>10</t>
  </si>
  <si>
    <t>Настройчик Цпу</t>
  </si>
  <si>
    <t>E1_MC</t>
  </si>
  <si>
    <t>Setter 1 – Machining (CNC)</t>
  </si>
  <si>
    <t>████████░░░░░░░ 54%</t>
  </si>
  <si>
    <t>44</t>
  </si>
  <si>
    <t>█████████████░░ 85%</t>
  </si>
  <si>
    <t>1399</t>
  </si>
  <si>
    <t>380</t>
  </si>
  <si>
    <t>████████████░░░ 83%</t>
  </si>
  <si>
    <t>48</t>
  </si>
  <si>
    <t>██████████░░░░░ 67%</t>
  </si>
  <si>
    <t>1320</t>
  </si>
  <si>
    <t>392</t>
  </si>
  <si>
    <t>██████░░░░░░░░░ 42%</t>
  </si>
  <si>
    <t>387</t>
  </si>
  <si>
    <t>████████████░░░ 79%</t>
  </si>
  <si>
    <t>1310</t>
  </si>
  <si>
    <t>197</t>
  </si>
  <si>
    <t>348</t>
  </si>
  <si>
    <t>75</t>
  </si>
  <si>
    <t>Техник-Механик, Технолог</t>
  </si>
  <si>
    <t>E2_MC</t>
  </si>
  <si>
    <t>Setter 2 – Machining (Technologist)</t>
  </si>
  <si>
    <t>1300</t>
  </si>
  <si>
    <t>306</t>
  </si>
  <si>
    <t>394</t>
  </si>
  <si>
    <t>124</t>
  </si>
  <si>
    <t>Резач Метал</t>
  </si>
  <si>
    <t>H3_MC</t>
  </si>
  <si>
    <t>Machining Helper Gr.3 (Metal Cutter)</t>
  </si>
  <si>
    <t>█████████░░░░░░ 61%</t>
  </si>
  <si>
    <t>1110</t>
  </si>
  <si>
    <t>142</t>
  </si>
  <si>
    <t>158</t>
  </si>
  <si>
    <t>⚠ BELOW MIN</t>
  </si>
  <si>
    <t>░░░░░░░░░░░░░░░ 0%</t>
  </si>
  <si>
    <t>269</t>
  </si>
  <si>
    <t>176</t>
  </si>
  <si>
    <t>365</t>
  </si>
  <si>
    <t>379</t>
  </si>
  <si>
    <t>Оператор Мм / Дуално</t>
  </si>
  <si>
    <t>H1_MC</t>
  </si>
  <si>
    <t>377</t>
  </si>
  <si>
    <t>376</t>
  </si>
  <si>
    <t>378</t>
  </si>
  <si>
    <t xml:space="preserve">  ▶  Toolroom</t>
  </si>
  <si>
    <t>12</t>
  </si>
  <si>
    <t>Матричар</t>
  </si>
  <si>
    <t>O2_TR</t>
  </si>
  <si>
    <t>Toolroom Operator Gr.2</t>
  </si>
  <si>
    <t>████████░░░░░░░ 53%</t>
  </si>
  <si>
    <t>2190</t>
  </si>
  <si>
    <t>356</t>
  </si>
  <si>
    <t>O1_TR</t>
  </si>
  <si>
    <t>Toolroom Operator Gr.1</t>
  </si>
  <si>
    <t>██████████░░░░░ 68%</t>
  </si>
  <si>
    <t>32</t>
  </si>
  <si>
    <t>2140</t>
  </si>
  <si>
    <t>275</t>
  </si>
  <si>
    <t>Машинен Оператор Мм</t>
  </si>
  <si>
    <t>55</t>
  </si>
  <si>
    <t>████████░░░░░░░ 55%</t>
  </si>
  <si>
    <t>2170</t>
  </si>
  <si>
    <t>64</t>
  </si>
  <si>
    <t>Организатор Ремонт И Поддръжка</t>
  </si>
  <si>
    <t>G_MN</t>
  </si>
  <si>
    <t>Maintenance Supervisor</t>
  </si>
  <si>
    <t>72</t>
  </si>
  <si>
    <t>██████████████░ 92%</t>
  </si>
  <si>
    <t>102</t>
  </si>
  <si>
    <t>103</t>
  </si>
  <si>
    <t>355</t>
  </si>
  <si>
    <t>Инженер Конструктор</t>
  </si>
  <si>
    <t>G_TR</t>
  </si>
  <si>
    <t>Section Leader – Toolroom</t>
  </si>
  <si>
    <t>C</t>
  </si>
  <si>
    <t>2410</t>
  </si>
  <si>
    <t>134</t>
  </si>
  <si>
    <t>Инженер Производство</t>
  </si>
  <si>
    <t>E_TR</t>
  </si>
  <si>
    <t>Production Engineer – Toolroom</t>
  </si>
  <si>
    <t>██████████░░░░░ 64%</t>
  </si>
  <si>
    <t>343</t>
  </si>
  <si>
    <t>█████████░░░░░░ 59%</t>
  </si>
  <si>
    <t>146</t>
  </si>
  <si>
    <t xml:space="preserve">  ▶  Assembly</t>
  </si>
  <si>
    <t>189</t>
  </si>
  <si>
    <t>Организатор</t>
  </si>
  <si>
    <t>G_AM</t>
  </si>
  <si>
    <t>Section Leader – Assembly</t>
  </si>
  <si>
    <t>█████████████░░ 84%</t>
  </si>
  <si>
    <t>1600</t>
  </si>
  <si>
    <t>311</t>
  </si>
  <si>
    <t>Настройчик</t>
  </si>
  <si>
    <t>E_AM</t>
  </si>
  <si>
    <t>Setter – Assembly</t>
  </si>
  <si>
    <t>███████░░░░░░░░ 48%</t>
  </si>
  <si>
    <t>1680</t>
  </si>
  <si>
    <t>Машинен Оператор</t>
  </si>
  <si>
    <t>O1_AM</t>
  </si>
  <si>
    <t>Assembly Operator Gr.1</t>
  </si>
  <si>
    <t>395</t>
  </si>
  <si>
    <t>1681</t>
  </si>
  <si>
    <t>156</t>
  </si>
  <si>
    <t>329</t>
  </si>
  <si>
    <t>382</t>
  </si>
  <si>
    <t>367</t>
  </si>
  <si>
    <t>374</t>
  </si>
  <si>
    <t>332</t>
  </si>
  <si>
    <t>Зареждач</t>
  </si>
  <si>
    <t>H2_AM</t>
  </si>
  <si>
    <t>Assembly Helper Gr.2 (Material Handler)</t>
  </si>
  <si>
    <t>1690</t>
  </si>
  <si>
    <t>88</t>
  </si>
  <si>
    <t>Монтажник</t>
  </si>
  <si>
    <t>H1_AM</t>
  </si>
  <si>
    <t>Assembly Helper Gr.1</t>
  </si>
  <si>
    <t>1683</t>
  </si>
  <si>
    <t>127</t>
  </si>
  <si>
    <t>271</t>
  </si>
  <si>
    <t>1691</t>
  </si>
  <si>
    <t>389</t>
  </si>
  <si>
    <t>█████████████░░ 89%</t>
  </si>
  <si>
    <t>265</t>
  </si>
  <si>
    <t>19</t>
  </si>
  <si>
    <t>228</t>
  </si>
  <si>
    <t>█████░░░░░░░░░░ 33%</t>
  </si>
  <si>
    <t>398</t>
  </si>
  <si>
    <t>1684</t>
  </si>
  <si>
    <t>52</t>
  </si>
  <si>
    <t>70</t>
  </si>
  <si>
    <t>290</t>
  </si>
  <si>
    <t>396</t>
  </si>
  <si>
    <t>372</t>
  </si>
  <si>
    <t>373</t>
  </si>
  <si>
    <t>145</t>
  </si>
  <si>
    <t>154</t>
  </si>
  <si>
    <t>███████████████ 97%</t>
  </si>
  <si>
    <t>321</t>
  </si>
  <si>
    <t>350</t>
  </si>
  <si>
    <t>174</t>
  </si>
  <si>
    <t>177</t>
  </si>
  <si>
    <t>178</t>
  </si>
  <si>
    <t>385</t>
  </si>
  <si>
    <t>323</t>
  </si>
  <si>
    <t>H3_AM</t>
  </si>
  <si>
    <t>Assembly Helper Gr.3</t>
  </si>
  <si>
    <t>██████████████░ 97%</t>
  </si>
  <si>
    <t>99</t>
  </si>
  <si>
    <t>245</t>
  </si>
  <si>
    <t>351</t>
  </si>
  <si>
    <t>132</t>
  </si>
  <si>
    <t>150</t>
  </si>
  <si>
    <t>179</t>
  </si>
  <si>
    <t>████████░░░░░░░ 56%</t>
  </si>
  <si>
    <t>181</t>
  </si>
  <si>
    <t>191</t>
  </si>
  <si>
    <t xml:space="preserve">  ▶  Pressing</t>
  </si>
  <si>
    <t>370</t>
  </si>
  <si>
    <t>Ръководител Отдел</t>
  </si>
  <si>
    <t>L_PS</t>
  </si>
  <si>
    <t>Department Head – Pressing</t>
  </si>
  <si>
    <t>███████░░░░░░░░ 45%</t>
  </si>
  <si>
    <t>1200</t>
  </si>
  <si>
    <t>270</t>
  </si>
  <si>
    <t>1210</t>
  </si>
  <si>
    <t>18</t>
  </si>
  <si>
    <t>Оператор Преса За  Метал-Хидравл.</t>
  </si>
  <si>
    <t>O1_PS</t>
  </si>
  <si>
    <t>Press Operator Gr.1</t>
  </si>
  <si>
    <t>1220</t>
  </si>
  <si>
    <t>80</t>
  </si>
  <si>
    <t>Полировач</t>
  </si>
  <si>
    <t>H3_PS</t>
  </si>
  <si>
    <t>Press Helper Gr.3 (Polisher)</t>
  </si>
  <si>
    <t>██████████░░░░░ 69%</t>
  </si>
  <si>
    <t>1150</t>
  </si>
  <si>
    <t>131</t>
  </si>
  <si>
    <t>██████████░░░░░ 66%</t>
  </si>
  <si>
    <t>1230</t>
  </si>
  <si>
    <t>133</t>
  </si>
  <si>
    <t>162</t>
  </si>
  <si>
    <t>Настройчик Пмм-Хидравлични</t>
  </si>
  <si>
    <t>E1_PS</t>
  </si>
  <si>
    <t>Setter 1 – Press Hydraulic</t>
  </si>
  <si>
    <t>████████░░░░░░░ 51%</t>
  </si>
  <si>
    <t>172</t>
  </si>
  <si>
    <t>████████████░░░ 80%</t>
  </si>
  <si>
    <t>241</t>
  </si>
  <si>
    <t>54</t>
  </si>
  <si>
    <t>Настройчик Преса За  Метал-Автоматична</t>
  </si>
  <si>
    <t>E2_PS</t>
  </si>
  <si>
    <t>Setter 2 – Press Automatic</t>
  </si>
  <si>
    <t>296</t>
  </si>
  <si>
    <t>Оператор Преса За  Метал-Автоматична</t>
  </si>
  <si>
    <t>295</t>
  </si>
  <si>
    <t>264</t>
  </si>
  <si>
    <t>Surcharge already included in Min/Target/Max. Cl.1→Cl.2 and Assembly Gr.1→2→3 require setter/supervisor written sign-off before contract update. Source: Wage_nonumber.xlsx + Wage_no_name.xlsx + Lohnsystem_Glatec_Final_v2.xlsx, Feb 2026.</t>
  </si>
  <si>
    <t>Glatec EOOD – Engineering | Employee Position in Wage Band | Feb 2026</t>
  </si>
  <si>
    <t xml:space="preserve">  ▶  Engineering / Automation</t>
  </si>
  <si>
    <t>339</t>
  </si>
  <si>
    <t>Мениджър Проекти</t>
  </si>
  <si>
    <t>PM3</t>
  </si>
  <si>
    <t>Project Manager / Head of PM &amp; Sales</t>
  </si>
  <si>
    <t>4600</t>
  </si>
  <si>
    <t>342</t>
  </si>
  <si>
    <t>Ръководител Произв.Технологии</t>
  </si>
  <si>
    <t>PM2</t>
  </si>
  <si>
    <t>Head of Production Technology</t>
  </si>
  <si>
    <t>██████████░░░░░ 70%</t>
  </si>
  <si>
    <t>338</t>
  </si>
  <si>
    <t>Технически Изпълнител</t>
  </si>
  <si>
    <t>AE10</t>
  </si>
  <si>
    <t>Senior Technical Executive</t>
  </si>
  <si>
    <t>46</t>
  </si>
  <si>
    <t>Инженер - Конструктор</t>
  </si>
  <si>
    <t>AE7a</t>
  </si>
  <si>
    <t>Junior Design Engineer</t>
  </si>
  <si>
    <t>4500</t>
  </si>
  <si>
    <t>7</t>
  </si>
  <si>
    <t>Технолог</t>
  </si>
  <si>
    <t>AE3</t>
  </si>
  <si>
    <t>Process Technologist</t>
  </si>
  <si>
    <t>4400</t>
  </si>
  <si>
    <t>386</t>
  </si>
  <si>
    <t>Технолог, Пластмаси</t>
  </si>
  <si>
    <t>AE4</t>
  </si>
  <si>
    <t>Plastics Technologist</t>
  </si>
  <si>
    <t>330</t>
  </si>
  <si>
    <t>Технически Сътрудник</t>
  </si>
  <si>
    <t>AE1</t>
  </si>
  <si>
    <t>Technical Assistant</t>
  </si>
  <si>
    <t>307</t>
  </si>
  <si>
    <t>Главен Инженер Пп</t>
  </si>
  <si>
    <t>AE11</t>
  </si>
  <si>
    <t>Chief Production Engineer</t>
  </si>
  <si>
    <t>██████████████░ 93%</t>
  </si>
  <si>
    <t>2440</t>
  </si>
  <si>
    <t>238</t>
  </si>
  <si>
    <t>Инженер Ел.Машини</t>
  </si>
  <si>
    <t>AE5</t>
  </si>
  <si>
    <t>Electrical / Machine Engineer</t>
  </si>
  <si>
    <t>2220</t>
  </si>
  <si>
    <t>352</t>
  </si>
  <si>
    <t>Инженер-Технолог</t>
  </si>
  <si>
    <t>AE6</t>
  </si>
  <si>
    <t>Process Engineer</t>
  </si>
  <si>
    <t>2430</t>
  </si>
  <si>
    <t>337</t>
  </si>
  <si>
    <t>391</t>
  </si>
  <si>
    <t>Инженер Автоматизация</t>
  </si>
  <si>
    <t>AE8</t>
  </si>
  <si>
    <t>Automation Engineer</t>
  </si>
  <si>
    <t>331</t>
  </si>
  <si>
    <t>Техник Автоматизация</t>
  </si>
  <si>
    <t>AE2</t>
  </si>
  <si>
    <t>Automation Technician</t>
  </si>
  <si>
    <t>375</t>
  </si>
  <si>
    <t>163</t>
  </si>
  <si>
    <t>Машинен Инженер</t>
  </si>
  <si>
    <t>AE9</t>
  </si>
  <si>
    <t>Mechanical Engineer (Senior)</t>
  </si>
  <si>
    <t>Glatec EOOD – Quality | Employee Position in Wage Band | Feb 2026</t>
  </si>
  <si>
    <t xml:space="preserve">  ▶  Quality</t>
  </si>
  <si>
    <t>347</t>
  </si>
  <si>
    <t>Ръководител Сектор</t>
  </si>
  <si>
    <t>QA5</t>
  </si>
  <si>
    <t>Quality Manager</t>
  </si>
  <si>
    <t>█████████████░░ 83%</t>
  </si>
  <si>
    <t>5700</t>
  </si>
  <si>
    <t>56</t>
  </si>
  <si>
    <t>Окачествител</t>
  </si>
  <si>
    <t>QA1</t>
  </si>
  <si>
    <t>Quality Inspector</t>
  </si>
  <si>
    <t>3510</t>
  </si>
  <si>
    <t>120</t>
  </si>
  <si>
    <t>Контрольор Качество</t>
  </si>
  <si>
    <t>QA2</t>
  </si>
  <si>
    <t>Quality Controller</t>
  </si>
  <si>
    <t>369</t>
  </si>
  <si>
    <t>Специалист Качество</t>
  </si>
  <si>
    <t>QA3</t>
  </si>
  <si>
    <t>Quality Specialist</t>
  </si>
  <si>
    <t>149</t>
  </si>
  <si>
    <t>289</t>
  </si>
  <si>
    <t>Инженер Качество</t>
  </si>
  <si>
    <t>QA4</t>
  </si>
  <si>
    <t>Quality Engineer</t>
  </si>
  <si>
    <t>███████████░░░░ 72%</t>
  </si>
  <si>
    <t>3500</t>
  </si>
  <si>
    <t>Glatec EOOD – Admin | Employee Position in Wage Band | Feb 2026</t>
  </si>
  <si>
    <t xml:space="preserve">  ▶  Warehouse</t>
  </si>
  <si>
    <t>157</t>
  </si>
  <si>
    <t>Склададжия</t>
  </si>
  <si>
    <t>LG1</t>
  </si>
  <si>
    <t>Warehouse Worker</t>
  </si>
  <si>
    <t>3200</t>
  </si>
  <si>
    <t>97</t>
  </si>
  <si>
    <t>Снабдител-Доставчик</t>
  </si>
  <si>
    <t>LG2</t>
  </si>
  <si>
    <t>Procurement Operative</t>
  </si>
  <si>
    <t>Водач Мотокар</t>
  </si>
  <si>
    <t>LG3</t>
  </si>
  <si>
    <t>Forklift Operator</t>
  </si>
  <si>
    <t>██████████████░ 90%</t>
  </si>
  <si>
    <t>397</t>
  </si>
  <si>
    <t>█████████░░░░░░ 62%</t>
  </si>
  <si>
    <t xml:space="preserve">  ▶  Shipping</t>
  </si>
  <si>
    <t>190</t>
  </si>
  <si>
    <t>Организатор Експедиция</t>
  </si>
  <si>
    <t>LG5</t>
  </si>
  <si>
    <t>Shipping Organiser</t>
  </si>
  <si>
    <t>4300</t>
  </si>
  <si>
    <t>368</t>
  </si>
  <si>
    <t>Машинен Оператор Опаковане</t>
  </si>
  <si>
    <t>LG4</t>
  </si>
  <si>
    <t>Packaging Machine Operator</t>
  </si>
  <si>
    <t xml:space="preserve">  ▶  Transport</t>
  </si>
  <si>
    <t>362</t>
  </si>
  <si>
    <t>Шофьор</t>
  </si>
  <si>
    <t>LG6</t>
  </si>
  <si>
    <t>Driver</t>
  </si>
  <si>
    <t>██████████████░ 91%</t>
  </si>
  <si>
    <t>3900</t>
  </si>
  <si>
    <t xml:space="preserve">  ▶  Administration</t>
  </si>
  <si>
    <t>206</t>
  </si>
  <si>
    <t>Директор Производство</t>
  </si>
  <si>
    <t>MG3</t>
  </si>
  <si>
    <t>Production Director</t>
  </si>
  <si>
    <t>1000</t>
  </si>
  <si>
    <t>78</t>
  </si>
  <si>
    <t>Мениджър Производство</t>
  </si>
  <si>
    <t>MG2</t>
  </si>
  <si>
    <t>Production Manager</t>
  </si>
  <si>
    <t>125</t>
  </si>
  <si>
    <t>Организатор Производство</t>
  </si>
  <si>
    <t>MG1</t>
  </si>
  <si>
    <t>Production Organiser</t>
  </si>
  <si>
    <t>3110</t>
  </si>
  <si>
    <t>2</t>
  </si>
  <si>
    <t>Старши Счетоводител</t>
  </si>
  <si>
    <t>FI3</t>
  </si>
  <si>
    <t>Chief Accountant</t>
  </si>
  <si>
    <t>█████████░░░░░░ 63%</t>
  </si>
  <si>
    <t>5400</t>
  </si>
  <si>
    <t>261</t>
  </si>
  <si>
    <t>Счетоводител</t>
  </si>
  <si>
    <t>FI2</t>
  </si>
  <si>
    <t>Senior Accountant</t>
  </si>
  <si>
    <t>388</t>
  </si>
  <si>
    <t>Оперативен Счетоводител</t>
  </si>
  <si>
    <t>FI1</t>
  </si>
  <si>
    <t>Accountant</t>
  </si>
  <si>
    <t>███████████░░░░ 71%</t>
  </si>
  <si>
    <t>Спец.Управл.Човешки Ресурси</t>
  </si>
  <si>
    <t>HR3</t>
  </si>
  <si>
    <t>HR Manager</t>
  </si>
  <si>
    <t>384</t>
  </si>
  <si>
    <t>Служител, Човешки Ресурси</t>
  </si>
  <si>
    <t>HR2</t>
  </si>
  <si>
    <t>HR Officer</t>
  </si>
  <si>
    <t>5500</t>
  </si>
  <si>
    <t>308</t>
  </si>
  <si>
    <t>Експерт Трудова Заетост</t>
  </si>
  <si>
    <t>HR4</t>
  </si>
  <si>
    <t>Labour Relations Expert</t>
  </si>
  <si>
    <t>███████████████ 98%</t>
  </si>
  <si>
    <t>302</t>
  </si>
  <si>
    <t>Специалист Логистика</t>
  </si>
  <si>
    <t>LG8</t>
  </si>
  <si>
    <t>Logistics Specialist</t>
  </si>
  <si>
    <t>█████████████░░ 86%</t>
  </si>
  <si>
    <t>285</t>
  </si>
  <si>
    <t>Спец.Доставки</t>
  </si>
  <si>
    <t>LG7</t>
  </si>
  <si>
    <t>Procurement Specialist</t>
  </si>
  <si>
    <t>360</t>
  </si>
  <si>
    <t>340</t>
  </si>
  <si>
    <t>Организатор Работа С Клиенти</t>
  </si>
  <si>
    <t>LG10</t>
  </si>
  <si>
    <t>Customer Relations Organiser</t>
  </si>
  <si>
    <t>4100</t>
  </si>
  <si>
    <t>Координатор Производство</t>
  </si>
  <si>
    <t>HR5</t>
  </si>
  <si>
    <t>192</t>
  </si>
  <si>
    <t>Системен Администратор</t>
  </si>
  <si>
    <t>IT1</t>
  </si>
  <si>
    <t>System Administrator</t>
  </si>
  <si>
    <t>5600</t>
  </si>
  <si>
    <t>318</t>
  </si>
  <si>
    <t>Спец.Информационни Технологии</t>
  </si>
  <si>
    <t>IT2</t>
  </si>
  <si>
    <t>IT Specialist</t>
  </si>
  <si>
    <t>61</t>
  </si>
  <si>
    <t>Инженер Механик</t>
  </si>
  <si>
    <t>O2_MN</t>
  </si>
  <si>
    <t>Maintenance Engineer Gr.2</t>
  </si>
  <si>
    <t>6410</t>
  </si>
  <si>
    <t>304</t>
  </si>
  <si>
    <t>Електротехник</t>
  </si>
  <si>
    <t>████████████░░░ 78%</t>
  </si>
  <si>
    <t>84</t>
  </si>
  <si>
    <t>Работник Поддръжка</t>
  </si>
  <si>
    <t>H1_MN</t>
  </si>
  <si>
    <t>Maintenance Helper Gr.1</t>
  </si>
  <si>
    <t>6110</t>
  </si>
  <si>
    <t>349</t>
  </si>
  <si>
    <t>Общ Работник</t>
  </si>
  <si>
    <t>HR1</t>
  </si>
  <si>
    <t>General Worker</t>
  </si>
  <si>
    <t>293</t>
  </si>
  <si>
    <t>███████████░░░░ 76%</t>
  </si>
  <si>
    <t>Glatec EOOD – Wage Band System | All Job Profiles | 2026</t>
  </si>
  <si>
    <t>All values EUR net/month incl. surcharge. Surcharge A=10% high hazard (Welding, Pressing)  B=5% medium (Machining, Toolroom, Injection, Maintenance)  C=0% standard. Cl.1/Cl.2 distinction requires setter sign-off. Legal min. net ≥ EUR 471 (BGN 1213 gross from 01.01.2026).</t>
  </si>
  <si>
    <t>Dept. Group</t>
  </si>
  <si>
    <t>Code</t>
  </si>
  <si>
    <t>BG Title</t>
  </si>
  <si>
    <t>EN Title</t>
  </si>
  <si>
    <t>Sur
€</t>
  </si>
  <si>
    <t>Target incl.
Surcharge €</t>
  </si>
  <si>
    <t>Notes</t>
  </si>
  <si>
    <t xml:space="preserve">  Production  ▶  Assembly</t>
  </si>
  <si>
    <t>монтажник гр.1</t>
  </si>
  <si>
    <t>Entry – no quality bonus yet</t>
  </si>
  <si>
    <t>монтажник гр.2 / зареждач</t>
  </si>
  <si>
    <t>монтажник гр.3</t>
  </si>
  <si>
    <t>машинен оператор гр.1</t>
  </si>
  <si>
    <t>Cl.1 – no set-up skills. Machine tending, cycle monitoring, quality check per instruction.</t>
  </si>
  <si>
    <t>O2_AM</t>
  </si>
  <si>
    <t>машинен оператор гр.2</t>
  </si>
  <si>
    <t>Assembly Operator Gr.2</t>
  </si>
  <si>
    <t>Cl.2 – can set up repeat jobs independently. Setter sign-off required after set-up.</t>
  </si>
  <si>
    <t>настройчик</t>
  </si>
  <si>
    <t>Setter level – qualifies for section leader role</t>
  </si>
  <si>
    <t>организатор отдел</t>
  </si>
  <si>
    <t>Section leader target band – max 1.500 EUR net</t>
  </si>
  <si>
    <t xml:space="preserve">  Production  ▶  Welding</t>
  </si>
  <si>
    <t>Welding</t>
  </si>
  <si>
    <t>шлосер гр.1 / оператор робот гр.1</t>
  </si>
  <si>
    <t>шлосер гр.2 / заварчик / оператор робот гр.2</t>
  </si>
  <si>
    <t xml:space="preserve">  Production  ▶  Pressing</t>
  </si>
  <si>
    <t>полировач</t>
  </si>
  <si>
    <t>оператор преса хидр. гр.1 / оператор преса авт. гр.1</t>
  </si>
  <si>
    <t>O2_PS</t>
  </si>
  <si>
    <t>оператор преса хидр. гр.2 / оператор преса авт. гр.2</t>
  </si>
  <si>
    <t>Press Operator Gr.2</t>
  </si>
  <si>
    <t>настройчик ПММ хидр. гр.1 / настройчик ПММ хидр. гр.2</t>
  </si>
  <si>
    <t>настройчик преса авт.</t>
  </si>
  <si>
    <t>⚠ Base low – review base/bonus split</t>
  </si>
  <si>
    <t>ръководител отдел</t>
  </si>
  <si>
    <t xml:space="preserve">  Production  ▶  Injection</t>
  </si>
  <si>
    <t>Injection</t>
  </si>
  <si>
    <t>оператор шприцмаш. гр.1</t>
  </si>
  <si>
    <t>O2_IM</t>
  </si>
  <si>
    <t>оператор шприцмаш. гр.2</t>
  </si>
  <si>
    <t>Injection Operator Gr.2</t>
  </si>
  <si>
    <t>настройчик шприцмаш.</t>
  </si>
  <si>
    <t xml:space="preserve">  Production  ▶  Machining</t>
  </si>
  <si>
    <t>резач метал</t>
  </si>
  <si>
    <t>шлосер гр.1 / оператор ММ гр.1</t>
  </si>
  <si>
    <t>O2_MC</t>
  </si>
  <si>
    <t>шлосер гр.2 / оператор ММ гр.2</t>
  </si>
  <si>
    <t>Machining Operator Gr.2</t>
  </si>
  <si>
    <t>настройчик ЦПУ</t>
  </si>
  <si>
    <t>техник-механик технолог</t>
  </si>
  <si>
    <t>ръководител звено</t>
  </si>
  <si>
    <t xml:space="preserve">  Production  ▶  Maintenance</t>
  </si>
  <si>
    <t>Maintenance</t>
  </si>
  <si>
    <t>работник поддръжка</t>
  </si>
  <si>
    <t>електротехник / инженер механик</t>
  </si>
  <si>
    <t>⚠ Base low – verify contract</t>
  </si>
  <si>
    <t>организатор ремонт</t>
  </si>
  <si>
    <t>Reclassified from Toolroom</t>
  </si>
  <si>
    <t xml:space="preserve">  Engineering  ▶  Toolroom</t>
  </si>
  <si>
    <t>шлосер инстр. / машинен оператор ММ</t>
  </si>
  <si>
    <t>матричар</t>
  </si>
  <si>
    <t>настройчик ЦПУ / инженер производство</t>
  </si>
  <si>
    <t>инженер конструктор</t>
  </si>
  <si>
    <t xml:space="preserve">  Engineering  ▶  Automation</t>
  </si>
  <si>
    <t>Automation</t>
  </si>
  <si>
    <t>технически сътрудник</t>
  </si>
  <si>
    <t>технически изпълнител</t>
  </si>
  <si>
    <t>главен инженер ПП</t>
  </si>
  <si>
    <t>техник автоматизация</t>
  </si>
  <si>
    <t>технолог</t>
  </si>
  <si>
    <t>технолог, пластмаси</t>
  </si>
  <si>
    <t>инженер ел.машини</t>
  </si>
  <si>
    <t>инженер-технолог</t>
  </si>
  <si>
    <t>инж. конструктор Jr.</t>
  </si>
  <si>
    <t>AE7b</t>
  </si>
  <si>
    <t>инж. конструктор Sr.</t>
  </si>
  <si>
    <t>Senior Design Engineer</t>
  </si>
  <si>
    <t>инженер автоматизация</t>
  </si>
  <si>
    <t>машинен инженер</t>
  </si>
  <si>
    <t>⚠ Review base/bonus split</t>
  </si>
  <si>
    <t xml:space="preserve">  Engineering  ▶  PM &amp; Sales</t>
  </si>
  <si>
    <t>PM &amp; Sales</t>
  </si>
  <si>
    <t>PM1</t>
  </si>
  <si>
    <t>Project Assistant</t>
  </si>
  <si>
    <t>ръков. произв.тех.</t>
  </si>
  <si>
    <t>мениджър проекти</t>
  </si>
  <si>
    <t xml:space="preserve">  Quality  ▶  Quality</t>
  </si>
  <si>
    <t>окачествител</t>
  </si>
  <si>
    <t>контрольор качество</t>
  </si>
  <si>
    <t>специалист качество</t>
  </si>
  <si>
    <t>инженер качество</t>
  </si>
  <si>
    <t>Currently on maternity leave</t>
  </si>
  <si>
    <t>ръководител сектор ОТК</t>
  </si>
  <si>
    <t xml:space="preserve">  Admin  ▶  Logistics</t>
  </si>
  <si>
    <t>Logistics</t>
  </si>
  <si>
    <t>склададжия</t>
  </si>
  <si>
    <t>организатор работа с кл.</t>
  </si>
  <si>
    <t>снабдител-доставчик</t>
  </si>
  <si>
    <t>водач мотокар</t>
  </si>
  <si>
    <t>машинен оп. опаковане</t>
  </si>
  <si>
    <t>организатор експедиция</t>
  </si>
  <si>
    <t>шофьор</t>
  </si>
  <si>
    <t>спец. доставки</t>
  </si>
  <si>
    <t>⚠ 1 person on maternity leave</t>
  </si>
  <si>
    <t>специалист логистика</t>
  </si>
  <si>
    <t>LG9</t>
  </si>
  <si>
    <t>координатор производство</t>
  </si>
  <si>
    <t>Production Coordinator</t>
  </si>
  <si>
    <t xml:space="preserve">  Admin  ▶  HR &amp; Admin</t>
  </si>
  <si>
    <t>HR &amp; Admin</t>
  </si>
  <si>
    <t>общ работник</t>
  </si>
  <si>
    <t>служител ЧР</t>
  </si>
  <si>
    <t>спец.управл.ЧР</t>
  </si>
  <si>
    <t>On maternity leave</t>
  </si>
  <si>
    <t>експерт трудова заетост</t>
  </si>
  <si>
    <t xml:space="preserve">  Admin  ▶  Finance &amp; IT</t>
  </si>
  <si>
    <t>Finance &amp; IT</t>
  </si>
  <si>
    <t>оперативен счетоводител</t>
  </si>
  <si>
    <t>счетоводител</t>
  </si>
  <si>
    <t>старши счетоводител</t>
  </si>
  <si>
    <t xml:space="preserve">  Admin  ▶  IT</t>
  </si>
  <si>
    <t>IT</t>
  </si>
  <si>
    <t>системен администратор</t>
  </si>
  <si>
    <t>спец. информационни тех.</t>
  </si>
  <si>
    <t xml:space="preserve">  Admin  ▶  Management</t>
  </si>
  <si>
    <t>Management</t>
  </si>
  <si>
    <t>организатор производство</t>
  </si>
  <si>
    <t>мениджър производство</t>
  </si>
  <si>
    <t>директор производство</t>
  </si>
  <si>
    <t>MG4</t>
  </si>
  <si>
    <t>юрист / пълномощник</t>
  </si>
  <si>
    <t>Legal Counsel / Authorised Signatory</t>
  </si>
  <si>
    <t>MG5</t>
  </si>
  <si>
    <t>изпълнителен директор</t>
  </si>
  <si>
    <t>Managing Director</t>
  </si>
  <si>
    <t>Code format: Function_Dept  |  H=Helfer  O=Operateur  E=Einrichter  G=Gruppenleiter  L=Leiter  |  Gr.1/Gr.2 within O and H. Numbers on E = specialisation. Values EUR net/month incl. surcharge. Feb 2026.</t>
  </si>
  <si>
    <t>Glatec EOOD – Qualification Matrix | Grading Criteria | 2026</t>
  </si>
  <si>
    <t>All criteria are uniform across departments unless otherwise noted. Grade changes H1↔H2↔H3 require setter or supervisor written sign-off. Upgrade to O and above requires section leader confirmation. E and above requires MD approval.</t>
  </si>
  <si>
    <t xml:space="preserve">  H1  –  Helper Gr.1</t>
  </si>
  <si>
    <t>Education</t>
  </si>
  <si>
    <t>No vocational qualification required. Basic literacy and numeracy sufficient.</t>
  </si>
  <si>
    <t>Experience</t>
  </si>
  <si>
    <t>No prior manufacturing experience required. Induction period of up to one week under direct supervision.</t>
  </si>
  <si>
    <t>Competencies</t>
  </si>
  <si>
    <t>Performs simple, repetitive manual tasks as instructed. Follows basic workplace safety rules. Reports issues to supervisor.</t>
  </si>
  <si>
    <t>Autonomy</t>
  </si>
  <si>
    <t>Works under continuous direct supervision. Does not make independent decisions. All deviations must be immediately escalated.</t>
  </si>
  <si>
    <t xml:space="preserve">  H2  –  Helper Gr.2</t>
  </si>
  <si>
    <t>No formal qualification required, though basic technical schooling is advantageous. Ongoing vocational training accepted.</t>
  </si>
  <si>
    <t>Minimum 1–4 weeks induction in the specific role. Basic familiarity with machines or tools used in the workplace.</t>
  </si>
  <si>
    <t>Operates simple machines or fixtures per written instructions. Performs basic quality checks (visual, simple gauging). Understands and follows work instructions.</t>
  </si>
  <si>
    <t>Works under regular supervision. Can execute routine tasks independently within a well-defined scope. Deviations reported to supervisor.</t>
  </si>
  <si>
    <t xml:space="preserve">  H3  –  Helper Gr.3</t>
  </si>
  <si>
    <t>Completed vocational training or equivalent demonstrated experience in a related manufacturing activity.</t>
  </si>
  <si>
    <t>Minimum 3–6 months in the role or in a directly related manufacturing area. Capable of performing multiple tasks within the workplace.</t>
  </si>
  <si>
    <t>Executes a defined range of tasks independently. Performs quality inspection per the control plan using standard measuring equipment. Can provide basic guidance to H1/H2 colleagues.</t>
  </si>
  <si>
    <t>Largely self-directed in daily tasks. Consults supervisor when deviations arise or when outside normal scope.</t>
  </si>
  <si>
    <t xml:space="preserve">  O1  –  Operator Gr.1</t>
  </si>
  <si>
    <t>Completed vocational qualification (skilled worker) in a relevant field, or equivalent competence demonstrated through internal assessment.</t>
  </si>
  <si>
    <t>Minimum 6 months operating the machine or working in the manufacturing area. Knows the tools, programmes and quality parameters applicable to the workstation.</t>
  </si>
  <si>
    <t>Operates assigned machines independently. Performs set-up using set-up sheets with setter support where required. Carries out in-process quality control including use of measuring instruments. Supports induction of H-grade colleagues.</t>
  </si>
  <si>
    <t>Independent in day-to-day operations. Calls on setter for set-up approval and fault resolution beyond basic level.</t>
  </si>
  <si>
    <t xml:space="preserve">  O2  –  Operator Gr.2</t>
  </si>
  <si>
    <t>Completed vocational qualification. Evidence of advanced knowledge demonstrated by certificate, internal attestation, or written assessment by setter or supervisor.</t>
  </si>
  <si>
    <t>Minimum 1 year as Operator Gr.1 in the same or closely related role. Upgrade to Gr.2 requires written sign-off by setter or section leader.</t>
  </si>
  <si>
    <t>Resolves simple machine faults independently. Performs set-up from template without requiring setter countersignature. Conducts 1st-level preventive maintenance (cleaning, lubrication, visual checks). Supports induction and assessment of O1 and H-grade colleagues.</t>
  </si>
  <si>
    <t>High degree of autonomy in daily operations. Consults setter or section leader only for complex technical issues or quality deviations outside normal parameters.</t>
  </si>
  <si>
    <t xml:space="preserve">  E / E1 / E2  –  Setter</t>
  </si>
  <si>
    <t>Completed vocational qualification in the relevant technical field. Additional qualification may be required depending on department (e.g. CNC programming certificate, welding procedure qualification, hydraulics licence).</t>
  </si>
  <si>
    <t>Minimum 3 years as Operator Gr.2 or equivalent. Must demonstrate independent machine set-up capability assessed and confirmed by section leader or department head.</t>
  </si>
  <si>
    <t>Performs full independent set-up and adjustment of all assigned machines and tools. Creates and updates set-up sheets. Provides quality first-off release. Makes CNC programme adjustments within defined authorisation. Resolves complex technical faults. Formally assesses and signs off O1/O2 grade upgrades. E1 and E2 denote different specialisations within the same role level (e.g. hydraulic vs automatic, CNC vs technologist).</t>
  </si>
  <si>
    <t>Fully autonomous in all set-up and technical adjustment tasks. Escalates to section leader or department head on quality holds, safety issues, or investment needs.</t>
  </si>
  <si>
    <t xml:space="preserve">  G  –  Section Leader</t>
  </si>
  <si>
    <t>Completed vocational qualification; master craftsman diploma or technician certificate strongly preferred. Leadership training or equivalent practical experience required.</t>
  </si>
  <si>
    <t>Minimum 3–5 years in the department, including at least 1 year as Setter or O2. Full knowledge of all machines, processes and quality requirements within the group.</t>
  </si>
  <si>
    <t>Leads a group of 3–15 employees both technically and organisationally. Responsible for shift planning, task assignment and group-level quality outcomes. Authorises first-off releases. Assesses and proposes H/O grade changes. Conducts briefings, safety instructions and on-the-job training.</t>
  </si>
  <si>
    <t>Manages the group independently within departmental guidelines. Reports to department head on performance, quality incidents and staffing matters.</t>
  </si>
  <si>
    <t xml:space="preserve">  L  –  Department Head</t>
  </si>
  <si>
    <t>Engineering degree or equivalent technical management qualification. Demonstrated people management and budget responsibility experience.</t>
  </si>
  <si>
    <t>Minimum 5 years in the field including at least 2 years in a leadership role with direct reports.</t>
  </si>
  <si>
    <t>Full accountability for department performance across quality, cost, delivery and safety. Manages headcount including hiring, appraisal and disciplinary process. Owns department KPIs and budget. Drives process improvement and submits investment proposals. Reports directly to MD or Production Director.</t>
  </si>
  <si>
    <t>Full departmental autonomy within company strategy and MD-approved budgets. Represents the department in cross-functional meetings and customer / supplier interactions.</t>
  </si>
  <si>
    <t>Legal minimum net ≥ EUR 471 (BGN 1,213 gross) from 01.01.2026. This matrix forms the basis for the internal wage regulation (Вътрешни правила за работната заплата). Annual review recommended. Last updated: Feb 2026.</t>
  </si>
  <si>
    <t>Surcharge</t>
  </si>
  <si>
    <t>Min €</t>
  </si>
  <si>
    <t>Target €</t>
  </si>
  <si>
    <t>Max €</t>
  </si>
  <si>
    <t>Glatec EOOD  –  HR Candidate Wage Assessment</t>
  </si>
  <si>
    <t>Complete Sections 1–3 for each new candidate. Offer must be ≥ Band Minimum. Offers above Target require written justification. Submit to MD for sign-off before communicating offer.</t>
  </si>
  <si>
    <t xml:space="preserve">  1   CANDIDATE INFORMATION</t>
  </si>
  <si>
    <t>Candidate Name</t>
  </si>
  <si>
    <t>Date</t>
  </si>
  <si>
    <t>Proposed Start</t>
  </si>
  <si>
    <t>Prepared by (HR)</t>
  </si>
  <si>
    <t>Position Applied</t>
  </si>
  <si>
    <t xml:space="preserve">  2   WAGE BAND SELECTION</t>
  </si>
  <si>
    <t>Band Code</t>
  </si>
  <si>
    <t>Function / Title</t>
  </si>
  <si>
    <t>Surcharge Class</t>
  </si>
  <si>
    <t xml:space="preserve">  3   OFFER CALCULATION  (EUR net / month, surcharge included)</t>
  </si>
  <si>
    <t>Band Range</t>
  </si>
  <si>
    <t>Min</t>
  </si>
  <si>
    <t>Target</t>
  </si>
  <si>
    <t>Max</t>
  </si>
  <si>
    <t>Proposed Offer €</t>
  </si>
  <si>
    <t>% of Target</t>
  </si>
  <si>
    <t>Delta to Target</t>
  </si>
  <si>
    <t xml:space="preserve">  4   JUSTIFICATION &amp; APPROVAL</t>
  </si>
  <si>
    <t>Justification /
Remarks</t>
  </si>
  <si>
    <t>HR Recommendation</t>
  </si>
  <si>
    <t>Approved  /  Rejected  /  Pending</t>
  </si>
  <si>
    <t>MD Sign-off</t>
  </si>
  <si>
    <t>Legal minimum net ≥ EUR 471 (BGN 1213 gross, 01.01.2026).  Surcharge A=10% Welding/Pressing  |  B=5% Machining/Toolroom/Injection/Maintenance  |  C=0% others.  Source: Glatec_WageBand_Complete.xlsx, Feb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</si>
</sst>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charset val="1"/>
    </font>
    <font>
      <b/>
      <sz val="13"/>
      <color rgb="FFFFFFFF"/>
      <name val="Arial"/>
      <charset val="1"/>
    </font>
    <font>
      <b/>
      <sz val="11"/>
      <color rgb="FF1F4E79"/>
      <name val="Arial"/>
      <charset val="1"/>
    </font>
    <font>
      <b/>
      <sz val="10"/>
      <color rgb="FFFFFFFF"/>
      <name val="Arial"/>
      <charset val="1"/>
    </font>
    <font>
      <sz val="10"/>
      <color rgb="FF000000"/>
      <name val="Arial"/>
      <charset val="1"/>
    </font>
    <font>
      <b/>
      <sz val="10"/>
      <color rgb="FF375623"/>
      <name val="Arial"/>
      <charset val="1"/>
    </font>
    <font>
      <b/>
      <sz val="10"/>
      <color rgb="FFC00000"/>
      <name val="Arial"/>
      <charset val="1"/>
    </font>
    <font>
      <b/>
      <sz val="10"/>
      <color rgb="FF7F6000"/>
      <name val="Arial"/>
      <charset val="1"/>
    </font>
    <font>
      <b/>
      <sz val="12"/>
      <color rgb="FFFFFFFF"/>
      <name val="Arial"/>
      <charset val="1"/>
    </font>
    <font>
      <i/>
      <sz val="9"/>
      <color rgb="FF1F4E79"/>
      <name val="Arial"/>
      <charset val="1"/>
    </font>
    <font>
      <b/>
      <sz val="10"/>
      <color rgb="FF1F4E79"/>
      <name val="Arial"/>
      <charset val="1"/>
    </font>
    <font>
      <i/>
      <sz val="10"/>
      <color rgb="FF595959"/>
      <name val="Arial"/>
      <charset val="1"/>
    </font>
    <font>
      <sz val="10"/>
      <color rgb="FF375623"/>
      <name val="Arial"/>
      <charset val="1"/>
    </font>
    <font>
      <sz val="10"/>
      <color rgb="FFC00000"/>
      <name val="Arial"/>
      <charset val="1"/>
    </font>
    <font>
      <b/>
      <sz val="10"/>
      <color rgb="FF595959"/>
      <name val="Arial"/>
      <charset val="1"/>
    </font>
    <font>
      <i/>
      <sz val="9"/>
      <color rgb="FF595959"/>
      <name val="Arial"/>
      <charset val="1"/>
    </font>
    <font>
      <sz val="10"/>
      <color rgb="FF595959"/>
      <name val="Arial"/>
      <charset val="1"/>
    </font>
    <font>
      <i/>
      <sz val="10"/>
      <color rgb="FFC00000"/>
      <name val="Arial"/>
      <charset val="1"/>
    </font>
    <font>
      <b/>
      <sz val="11"/>
      <color rgb="FFFFFFFF"/>
      <name val="Arial"/>
      <charset val="1"/>
    </font>
    <font>
      <b/>
      <sz val="9"/>
      <color rgb="FF1F4E79"/>
      <name val="Arial"/>
      <charset val="1"/>
    </font>
    <font>
      <sz val="9"/>
      <color rgb="FF000000"/>
      <name val="Arial"/>
      <charset val="1"/>
    </font>
    <font>
      <i/>
      <sz val="8"/>
      <color rgb="FF595959"/>
      <name val="Arial"/>
      <charset val="1"/>
    </font>
    <font>
      <b/>
      <sz val="9"/>
      <color rgb="FFFFFFFF"/>
      <name val="Arial"/>
      <charset val="1"/>
    </font>
    <font>
      <b/>
      <sz val="14"/>
      <color rgb="FFFFFFFF"/>
      <name val="Arial"/>
      <charset val="1"/>
    </font>
    <font>
      <i/>
      <sz val="8"/>
      <color rgb="FF1F4E79"/>
      <name val="Arial"/>
      <charset val="1"/>
    </font>
    <font>
      <b/>
      <sz val="10"/>
      <color rgb="FF264478"/>
      <name val="Arial"/>
      <charset val="1"/>
    </font>
    <font>
      <b/>
      <sz val="11"/>
      <color rgb="FFC00000"/>
      <name val="Arial"/>
      <charset val="1"/>
    </font>
    <font>
      <i/>
      <sz val="8"/>
      <color rgb="FFC00000"/>
      <name val="Arial"/>
      <charset val="1"/>
    </font>
    <font>
      <b/>
      <sz val="11"/>
      <color rgb="FF375623"/>
      <name val="Arial"/>
      <charset val="1"/>
    </font>
    <font>
      <i/>
      <sz val="8"/>
      <color rgb="FF375623"/>
      <name val="Arial"/>
      <charset val="1"/>
    </font>
    <font>
      <b/>
      <sz val="13"/>
      <color rgb="FF7F4F00"/>
      <name val="Arial"/>
      <charset val="1"/>
    </font>
    <font>
      <i/>
      <sz val="10"/>
      <color rgb="FF7F6000"/>
      <name val="Arial"/>
      <charset val="1"/>
    </font>
  </fonts>
  <fills count="34">
    <fill>
      <patternFill patternType="none"/>
    </fill>
    <fill>
      <patternFill patternType="gray125"/>
    </fill>
    <fill>
      <patternFill patternType="solid">
        <fgColor rgb="FF1F4E79"/>
        <bgColor rgb="FF264478"/>
      </patternFill>
    </fill>
    <fill>
      <patternFill patternType="solid">
        <fgColor rgb="FFBDD7EE"/>
        <bgColor rgb="FFC5D9F1"/>
      </patternFill>
    </fill>
    <fill>
      <patternFill patternType="solid">
        <fgColor rgb="FF2E75B6"/>
        <bgColor rgb="FF4472C4"/>
      </patternFill>
    </fill>
    <fill>
      <patternFill patternType="solid">
        <fgColor rgb="FFFFFFFF"/>
        <bgColor rgb="FFF7F7F7"/>
      </patternFill>
    </fill>
    <fill>
      <patternFill patternType="solid">
        <fgColor rgb="FFFFCCCC"/>
        <bgColor rgb="FFF4CCCC"/>
      </patternFill>
    </fill>
    <fill>
      <patternFill patternType="solid">
        <fgColor rgb="FFFFF2CC"/>
        <bgColor rgb="FFFFF9E6"/>
      </patternFill>
    </fill>
    <fill>
      <patternFill patternType="solid">
        <fgColor rgb="FFC5D9F1"/>
        <bgColor rgb="FFBDD7EE"/>
      </patternFill>
    </fill>
    <fill>
      <patternFill patternType="solid">
        <fgColor rgb="FFE8E8E8"/>
        <bgColor rgb="FFEBF1DE"/>
      </patternFill>
    </fill>
    <fill>
      <patternFill patternType="solid">
        <fgColor rgb="FF264478"/>
        <bgColor rgb="FF1F4E79"/>
      </patternFill>
    </fill>
    <fill>
      <patternFill patternType="solid">
        <fgColor rgb="FFEBF1DE"/>
        <bgColor rgb="FFF2F2F2"/>
      </patternFill>
    </fill>
    <fill>
      <patternFill patternType="solid">
        <fgColor rgb="FF7F6000"/>
        <bgColor rgb="FF7F4F00"/>
      </patternFill>
    </fill>
    <fill>
      <patternFill patternType="solid">
        <fgColor rgb="FF1F3864"/>
        <bgColor rgb="FF243F60"/>
      </patternFill>
    </fill>
    <fill>
      <patternFill patternType="solid">
        <fgColor rgb="FF375623"/>
        <bgColor rgb="FF4F4F4F"/>
      </patternFill>
    </fill>
    <fill>
      <patternFill patternType="solid">
        <fgColor rgb="FFF2F2F2"/>
        <bgColor rgb="FFEEF3F8"/>
      </patternFill>
    </fill>
    <fill>
      <patternFill patternType="solid">
        <fgColor rgb="FFA50000"/>
        <bgColor rgb="FFC00000"/>
      </patternFill>
    </fill>
    <fill>
      <patternFill patternType="solid">
        <fgColor rgb="FFC00000"/>
        <bgColor rgb="FFA50000"/>
      </patternFill>
    </fill>
    <fill>
      <patternFill patternType="solid">
        <fgColor rgb="FF7030A0"/>
        <bgColor rgb="FF800080"/>
      </patternFill>
    </fill>
    <fill>
      <patternFill patternType="solid">
        <fgColor rgb="FF595959"/>
        <bgColor rgb="FF4F4F4F"/>
      </patternFill>
    </fill>
    <fill>
      <patternFill patternType="solid">
        <fgColor rgb="FF4F4F4F"/>
        <bgColor rgb="FF595959"/>
      </patternFill>
    </fill>
    <fill>
      <patternFill patternType="solid">
        <fgColor rgb="FFD6E4F0"/>
        <bgColor rgb="FFE8E8E8"/>
      </patternFill>
    </fill>
    <fill>
      <patternFill patternType="solid">
        <fgColor rgb="FF4472C4"/>
        <bgColor rgb="FF2E75B6"/>
      </patternFill>
    </fill>
    <fill>
      <patternFill patternType="solid">
        <fgColor rgb="FF243F60"/>
        <bgColor rgb="FF1F3864"/>
      </patternFill>
    </fill>
    <fill>
      <patternFill patternType="solid">
        <fgColor rgb="FFF4CCCC"/>
        <bgColor rgb="FFFFCCCC"/>
      </patternFill>
    </fill>
    <fill>
      <patternFill patternType="solid">
        <fgColor rgb="FF333333"/>
        <bgColor rgb="FF243F60"/>
      </patternFill>
    </fill>
    <fill>
      <patternFill patternType="solid">
        <fgColor rgb="FF70AD47"/>
        <bgColor rgb="FF548235"/>
      </patternFill>
    </fill>
    <fill>
      <patternFill patternType="solid">
        <fgColor rgb="FFEEF3F8"/>
        <bgColor rgb="FFF2F2F2"/>
      </patternFill>
    </fill>
    <fill>
      <patternFill patternType="solid">
        <fgColor rgb="FF548235"/>
        <bgColor rgb="FF595959"/>
      </patternFill>
    </fill>
    <fill>
      <patternFill patternType="solid">
        <fgColor rgb="FFC55A11"/>
        <bgColor rgb="FF7F6000"/>
      </patternFill>
    </fill>
    <fill>
      <patternFill patternType="solid">
        <fgColor rgb="FFF7F7F7"/>
        <bgColor rgb="FFF2F2F2"/>
      </patternFill>
    </fill>
    <fill>
      <patternFill patternType="solid">
        <fgColor rgb="FFFFF9E6"/>
        <bgColor rgb="FFFFFDE7"/>
      </patternFill>
    </fill>
    <fill>
      <patternFill patternType="solid">
        <fgColor rgb="FFFFFDE7"/>
        <bgColor rgb="FFFFF9E6"/>
      </patternFill>
    </fill>
    <fill>
      <patternFill patternType="solid">
        <fgColor rgb="FF7F3F00"/>
        <bgColor rgb="FF7F4F00"/>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medium">
        <color rgb="FF2E75B6"/>
      </left>
      <right style="medium">
        <color rgb="FF2E75B6"/>
      </right>
      <top style="medium">
        <color rgb="FF2E75B6"/>
      </top>
      <bottom style="medium">
        <color rgb="FF2E75B6"/>
      </bottom>
      <diagonal/>
    </border>
  </borders>
  <cellStyleXfs count="1">
    <xf numFmtId="0" fontId="0" fillId="0" borderId="0"/>
  </cellStyleXfs>
  <cellXfs count="117">
    <xf numFmtId="0" fontId="0" fillId="0" borderId="0" xfId="0"/>
    <xf numFmtId="0" fontId="3" fillId="4" borderId="1" xfId="0" applyFont="1" applyFill="1" applyBorder="1" applyAlignment="1">
      <alignment horizontal="center" vertical="center" wrapText="1"/>
    </xf>
    <xf numFmtId="0" fontId="4" fillId="5" borderId="1" xfId="0" applyFont="1" applyFill="1" applyBorder="1" applyAlignment="1">
      <alignment horizontal="left" vertical="center"/>
    </xf>
    <xf numFmtId="0" fontId="4" fillId="5" borderId="1" xfId="0" applyFont="1" applyFill="1" applyBorder="1" applyAlignment="1">
      <alignment horizontal="center" vertical="center"/>
    </xf>
    <xf numFmtId="0" fontId="5" fillId="5" borderId="1" xfId="0" applyFont="1" applyFill="1" applyBorder="1" applyAlignment="1">
      <alignment horizontal="left" vertical="center"/>
    </xf>
    <xf numFmtId="0" fontId="4" fillId="6" borderId="1" xfId="0" applyFont="1" applyFill="1" applyBorder="1" applyAlignment="1">
      <alignment horizontal="left" vertical="center"/>
    </xf>
    <xf numFmtId="0" fontId="4" fillId="6" borderId="1" xfId="0" applyFont="1" applyFill="1" applyBorder="1" applyAlignment="1">
      <alignment horizontal="center" vertical="center"/>
    </xf>
    <xf numFmtId="0" fontId="6" fillId="6" borderId="1" xfId="0" applyFont="1" applyFill="1" applyBorder="1" applyAlignment="1">
      <alignment horizontal="center" vertical="center"/>
    </xf>
    <xf numFmtId="0" fontId="6" fillId="6" borderId="1" xfId="0" applyFont="1" applyFill="1" applyBorder="1" applyAlignment="1">
      <alignment horizontal="left" vertical="center"/>
    </xf>
    <xf numFmtId="0" fontId="4" fillId="7" borderId="1" xfId="0" applyFont="1" applyFill="1" applyBorder="1" applyAlignment="1">
      <alignment horizontal="left" vertical="center"/>
    </xf>
    <xf numFmtId="0" fontId="4" fillId="7" borderId="1" xfId="0" applyFont="1" applyFill="1" applyBorder="1" applyAlignment="1">
      <alignment horizontal="center" vertical="center"/>
    </xf>
    <xf numFmtId="0" fontId="7" fillId="7" borderId="1" xfId="0" applyFont="1" applyFill="1" applyBorder="1" applyAlignment="1">
      <alignment horizontal="left" vertical="center"/>
    </xf>
    <xf numFmtId="0" fontId="4" fillId="8" borderId="1" xfId="0" applyFont="1" applyFill="1" applyBorder="1" applyAlignment="1">
      <alignment horizontal="left" vertical="center"/>
    </xf>
    <xf numFmtId="0" fontId="4" fillId="8" borderId="1" xfId="0" applyFont="1" applyFill="1" applyBorder="1" applyAlignment="1">
      <alignment horizontal="center" vertical="center"/>
    </xf>
    <xf numFmtId="0" fontId="5" fillId="8" borderId="1" xfId="0" applyFont="1" applyFill="1" applyBorder="1" applyAlignment="1">
      <alignment horizontal="left" vertical="center"/>
    </xf>
    <xf numFmtId="0" fontId="4" fillId="9" borderId="1" xfId="0" applyFont="1" applyFill="1" applyBorder="1" applyAlignment="1">
      <alignment horizontal="left" vertical="center"/>
    </xf>
    <xf numFmtId="0" fontId="4" fillId="9" borderId="1" xfId="0" applyFont="1" applyFill="1" applyBorder="1" applyAlignment="1">
      <alignment horizontal="center" vertical="center"/>
    </xf>
    <xf numFmtId="0" fontId="5" fillId="9" borderId="1" xfId="0" applyFont="1" applyFill="1" applyBorder="1" applyAlignment="1">
      <alignment horizontal="left" vertical="center"/>
    </xf>
    <xf numFmtId="0" fontId="3" fillId="2" borderId="1" xfId="0" applyFont="1" applyFill="1" applyBorder="1" applyAlignment="1">
      <alignment horizontal="center" vertical="center"/>
    </xf>
    <xf numFmtId="0" fontId="4" fillId="11" borderId="1" xfId="0" applyFont="1" applyFill="1" applyBorder="1" applyAlignment="1">
      <alignment horizontal="center" vertical="center"/>
    </xf>
    <xf numFmtId="0" fontId="10" fillId="11" borderId="1" xfId="0" applyFont="1" applyFill="1" applyBorder="1" applyAlignment="1">
      <alignment horizontal="center" vertical="center"/>
    </xf>
    <xf numFmtId="0" fontId="4" fillId="11" borderId="1" xfId="0" applyFont="1" applyFill="1" applyBorder="1" applyAlignment="1">
      <alignment horizontal="left" vertical="center"/>
    </xf>
    <xf numFmtId="0" fontId="11" fillId="11" borderId="1" xfId="0" applyFont="1" applyFill="1" applyBorder="1" applyAlignment="1">
      <alignment horizontal="center" vertical="center"/>
    </xf>
    <xf numFmtId="0" fontId="5" fillId="11" borderId="1" xfId="0" applyFont="1" applyFill="1" applyBorder="1" applyAlignment="1">
      <alignment horizontal="center" vertical="center"/>
    </xf>
    <xf numFmtId="0" fontId="12" fillId="11" borderId="1" xfId="0" applyFont="1" applyFill="1" applyBorder="1" applyAlignment="1">
      <alignment horizontal="left" vertical="center"/>
    </xf>
    <xf numFmtId="0" fontId="10" fillId="7" borderId="1" xfId="0" applyFont="1" applyFill="1" applyBorder="1" applyAlignment="1">
      <alignment horizontal="center" vertical="center"/>
    </xf>
    <xf numFmtId="0" fontId="11" fillId="7" borderId="1" xfId="0" applyFont="1" applyFill="1" applyBorder="1" applyAlignment="1">
      <alignment horizontal="center" vertical="center"/>
    </xf>
    <xf numFmtId="0" fontId="7" fillId="7" borderId="1" xfId="0" applyFont="1" applyFill="1" applyBorder="1" applyAlignment="1">
      <alignment horizontal="center" vertical="center"/>
    </xf>
    <xf numFmtId="0" fontId="12" fillId="7" borderId="1" xfId="0" applyFont="1" applyFill="1" applyBorder="1" applyAlignment="1">
      <alignment horizontal="left" vertical="center"/>
    </xf>
    <xf numFmtId="0" fontId="10" fillId="6" borderId="1" xfId="0" applyFont="1" applyFill="1" applyBorder="1" applyAlignment="1">
      <alignment horizontal="center" vertical="center"/>
    </xf>
    <xf numFmtId="0" fontId="11" fillId="6" borderId="1" xfId="0" applyFont="1" applyFill="1" applyBorder="1" applyAlignment="1">
      <alignment horizontal="center" vertical="center"/>
    </xf>
    <xf numFmtId="0" fontId="13" fillId="6" borderId="1" xfId="0" applyFont="1" applyFill="1" applyBorder="1" applyAlignment="1">
      <alignment horizontal="left" vertical="center"/>
    </xf>
    <xf numFmtId="0" fontId="14" fillId="7" borderId="1" xfId="0" applyFont="1" applyFill="1" applyBorder="1" applyAlignment="1">
      <alignment horizontal="center" vertical="center"/>
    </xf>
    <xf numFmtId="0" fontId="13" fillId="7" borderId="1" xfId="0" applyFont="1" applyFill="1" applyBorder="1" applyAlignment="1">
      <alignment horizontal="left" vertical="center"/>
    </xf>
    <xf numFmtId="0" fontId="16" fillId="7" borderId="1" xfId="0" applyFont="1" applyFill="1" applyBorder="1" applyAlignment="1">
      <alignment horizontal="center" vertical="center"/>
    </xf>
    <xf numFmtId="0" fontId="17" fillId="7" borderId="1" xfId="0" applyFont="1" applyFill="1" applyBorder="1" applyAlignment="1">
      <alignment horizontal="left" vertical="center" wrapText="1"/>
    </xf>
    <xf numFmtId="0" fontId="10" fillId="5" borderId="1" xfId="0" applyFont="1" applyFill="1" applyBorder="1" applyAlignment="1">
      <alignment horizontal="center" vertical="center"/>
    </xf>
    <xf numFmtId="0" fontId="16" fillId="5" borderId="1" xfId="0" applyFont="1" applyFill="1" applyBorder="1" applyAlignment="1">
      <alignment horizontal="center" vertical="center"/>
    </xf>
    <xf numFmtId="0" fontId="4" fillId="21" borderId="1" xfId="0" applyFont="1" applyFill="1" applyBorder="1" applyAlignment="1">
      <alignment horizontal="center" vertical="center"/>
    </xf>
    <xf numFmtId="0" fontId="4" fillId="21" borderId="1" xfId="0" applyFont="1" applyFill="1" applyBorder="1" applyAlignment="1">
      <alignment horizontal="left" vertical="center"/>
    </xf>
    <xf numFmtId="0" fontId="10" fillId="21" borderId="1" xfId="0" applyFont="1" applyFill="1" applyBorder="1" applyAlignment="1">
      <alignment horizontal="center" vertical="center"/>
    </xf>
    <xf numFmtId="0" fontId="16" fillId="21" borderId="1" xfId="0" applyFont="1" applyFill="1" applyBorder="1" applyAlignment="1">
      <alignment horizontal="center" vertical="center"/>
    </xf>
    <xf numFmtId="0" fontId="10" fillId="8" borderId="1" xfId="0" applyFont="1" applyFill="1" applyBorder="1" applyAlignment="1">
      <alignment horizontal="center" vertical="center"/>
    </xf>
    <xf numFmtId="0" fontId="16" fillId="8" borderId="1" xfId="0" applyFont="1" applyFill="1" applyBorder="1" applyAlignment="1">
      <alignment horizontal="center" vertical="center"/>
    </xf>
    <xf numFmtId="0" fontId="4" fillId="24" borderId="1" xfId="0" applyFont="1" applyFill="1" applyBorder="1" applyAlignment="1">
      <alignment horizontal="center" vertical="center"/>
    </xf>
    <xf numFmtId="0" fontId="4" fillId="24" borderId="1" xfId="0" applyFont="1" applyFill="1" applyBorder="1" applyAlignment="1">
      <alignment horizontal="left" vertical="center"/>
    </xf>
    <xf numFmtId="0" fontId="10" fillId="24" borderId="1" xfId="0" applyFont="1" applyFill="1" applyBorder="1" applyAlignment="1">
      <alignment horizontal="center" vertical="center"/>
    </xf>
    <xf numFmtId="0" fontId="16" fillId="24" borderId="1" xfId="0" applyFont="1" applyFill="1" applyBorder="1" applyAlignment="1">
      <alignment horizontal="center" vertical="center"/>
    </xf>
    <xf numFmtId="0" fontId="10" fillId="9" borderId="1" xfId="0" applyFont="1" applyFill="1" applyBorder="1" applyAlignment="1">
      <alignment horizontal="center" vertical="center"/>
    </xf>
    <xf numFmtId="0" fontId="16" fillId="9" borderId="1" xfId="0" applyFont="1" applyFill="1" applyBorder="1" applyAlignment="1">
      <alignment horizontal="center" vertical="center"/>
    </xf>
    <xf numFmtId="0" fontId="19" fillId="27" borderId="3" xfId="0" applyFont="1" applyFill="1" applyBorder="1" applyAlignment="1">
      <alignment horizontal="left" vertical="center"/>
    </xf>
    <xf numFmtId="0" fontId="20" fillId="21" borderId="3" xfId="0" applyFont="1" applyFill="1" applyBorder="1" applyAlignment="1">
      <alignment horizontal="left" vertical="top" wrapText="1"/>
    </xf>
    <xf numFmtId="0" fontId="20" fillId="11" borderId="3" xfId="0" applyFont="1" applyFill="1" applyBorder="1" applyAlignment="1">
      <alignment horizontal="left" vertical="top" wrapText="1"/>
    </xf>
    <xf numFmtId="0" fontId="20" fillId="7" borderId="3" xfId="0" applyFont="1" applyFill="1" applyBorder="1" applyAlignment="1">
      <alignment horizontal="left" vertical="top" wrapText="1"/>
    </xf>
    <xf numFmtId="0" fontId="20" fillId="24" borderId="3" xfId="0" applyFont="1" applyFill="1" applyBorder="1" applyAlignment="1">
      <alignment horizontal="left" vertical="top" wrapText="1"/>
    </xf>
    <xf numFmtId="0" fontId="22" fillId="2" borderId="0" xfId="0" applyFont="1" applyFill="1" applyAlignment="1">
      <alignment horizontal="center" vertical="center"/>
    </xf>
    <xf numFmtId="0" fontId="20" fillId="30" borderId="0" xfId="0" applyFont="1" applyFill="1" applyAlignment="1">
      <alignment horizontal="left" vertical="center"/>
    </xf>
    <xf numFmtId="0" fontId="20" fillId="30" borderId="0" xfId="0" applyFont="1" applyFill="1" applyAlignment="1">
      <alignment horizontal="center" vertical="center"/>
    </xf>
    <xf numFmtId="0" fontId="20" fillId="5" borderId="0" xfId="0" applyFont="1" applyFill="1" applyAlignment="1">
      <alignment horizontal="left" vertical="center"/>
    </xf>
    <xf numFmtId="0" fontId="20" fillId="5" borderId="0" xfId="0" applyFont="1" applyFill="1" applyAlignment="1">
      <alignment horizontal="center" vertical="center"/>
    </xf>
    <xf numFmtId="0" fontId="10" fillId="27" borderId="3" xfId="0" applyFont="1" applyFill="1" applyBorder="1" applyAlignment="1">
      <alignment horizontal="left" vertical="center"/>
    </xf>
    <xf numFmtId="0" fontId="26" fillId="24" borderId="3" xfId="0" applyFont="1" applyFill="1" applyBorder="1" applyAlignment="1">
      <alignment horizontal="center" vertical="center"/>
    </xf>
    <xf numFmtId="0" fontId="27" fillId="24" borderId="3" xfId="0" applyFont="1" applyFill="1" applyBorder="1" applyAlignment="1">
      <alignment horizontal="left" vertical="center"/>
    </xf>
    <xf numFmtId="0" fontId="28" fillId="11" borderId="3" xfId="0" applyFont="1" applyFill="1" applyBorder="1" applyAlignment="1">
      <alignment horizontal="center" vertical="center"/>
    </xf>
    <xf numFmtId="0" fontId="29" fillId="11" borderId="3" xfId="0" applyFont="1" applyFill="1" applyBorder="1" applyAlignment="1">
      <alignment horizontal="left" vertical="center"/>
    </xf>
    <xf numFmtId="0" fontId="2" fillId="3" borderId="3" xfId="0" applyFont="1" applyFill="1" applyBorder="1" applyAlignment="1">
      <alignment horizontal="center" vertical="center"/>
    </xf>
    <xf numFmtId="0" fontId="24" fillId="3" borderId="3" xfId="0" applyFont="1" applyFill="1" applyBorder="1" applyAlignment="1">
      <alignment horizontal="left" vertical="center"/>
    </xf>
    <xf numFmtId="0" fontId="0" fillId="15" borderId="3" xfId="0" applyFill="1" applyBorder="1"/>
    <xf numFmtId="0" fontId="30" fillId="32" borderId="4" xfId="0" applyFont="1" applyFill="1" applyBorder="1" applyAlignment="1">
      <alignment horizontal="center" vertical="center"/>
    </xf>
    <xf numFmtId="0" fontId="16" fillId="15" borderId="3" xfId="0" applyFont="1" applyFill="1" applyBorder="1" applyAlignment="1">
      <alignment horizontal="center" vertical="center"/>
    </xf>
    <xf numFmtId="0" fontId="10" fillId="27" borderId="3" xfId="0" applyFont="1" applyFill="1" applyBorder="1" applyAlignment="1">
      <alignment horizontal="left" vertical="center" wrapText="1"/>
    </xf>
    <xf numFmtId="0" fontId="3" fillId="20" borderId="1" xfId="0" applyFont="1" applyFill="1" applyBorder="1" applyAlignment="1">
      <alignment horizontal="left" vertical="center"/>
    </xf>
    <xf numFmtId="0" fontId="15" fillId="15" borderId="1" xfId="0" applyFont="1" applyFill="1" applyBorder="1" applyAlignment="1">
      <alignment horizontal="left" vertical="center"/>
    </xf>
    <xf numFmtId="0" fontId="8" fillId="2" borderId="1" xfId="0" applyFont="1" applyFill="1" applyBorder="1" applyAlignment="1">
      <alignment horizontal="center" vertical="center"/>
    </xf>
    <xf numFmtId="0" fontId="9" fillId="3" borderId="1" xfId="0" applyFont="1" applyFill="1" applyBorder="1" applyAlignment="1">
      <alignment horizontal="center" vertical="center"/>
    </xf>
    <xf numFmtId="0" fontId="3" fillId="18" borderId="1" xfId="0" applyFont="1" applyFill="1" applyBorder="1" applyAlignment="1">
      <alignment horizontal="left" vertical="center"/>
    </xf>
    <xf numFmtId="0" fontId="3" fillId="19" borderId="1" xfId="0" applyFont="1" applyFill="1" applyBorder="1" applyAlignment="1">
      <alignment horizontal="left"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3" fillId="2" borderId="1" xfId="0" applyFont="1" applyFill="1" applyBorder="1" applyAlignment="1">
      <alignment horizontal="left" vertical="center"/>
    </xf>
    <xf numFmtId="0" fontId="3" fillId="14" borderId="1" xfId="0" applyFont="1" applyFill="1" applyBorder="1" applyAlignment="1">
      <alignment horizontal="left" vertical="center"/>
    </xf>
    <xf numFmtId="0" fontId="3" fillId="10" borderId="1" xfId="0" applyFont="1" applyFill="1" applyBorder="1" applyAlignment="1">
      <alignment horizontal="left" vertical="center"/>
    </xf>
    <xf numFmtId="0" fontId="3" fillId="12" borderId="1" xfId="0" applyFont="1" applyFill="1" applyBorder="1" applyAlignment="1">
      <alignment horizontal="left" vertical="center"/>
    </xf>
    <xf numFmtId="0" fontId="3" fillId="13" borderId="1" xfId="0" applyFont="1" applyFill="1" applyBorder="1" applyAlignment="1">
      <alignment horizontal="left" vertical="center"/>
    </xf>
    <xf numFmtId="0" fontId="8" fillId="16" borderId="1" xfId="0" applyFont="1" applyFill="1" applyBorder="1" applyAlignment="1">
      <alignment horizontal="center" vertical="center"/>
    </xf>
    <xf numFmtId="0" fontId="3" fillId="17" borderId="1" xfId="0" applyFont="1" applyFill="1" applyBorder="1" applyAlignment="1">
      <alignment horizontal="left" vertical="center"/>
    </xf>
    <xf numFmtId="0" fontId="3" fillId="25" borderId="1" xfId="0" applyFont="1" applyFill="1" applyBorder="1" applyAlignment="1">
      <alignment horizontal="left" vertical="center"/>
    </xf>
    <xf numFmtId="0" fontId="9" fillId="3" borderId="1" xfId="0" applyFont="1" applyFill="1" applyBorder="1" applyAlignment="1">
      <alignment horizontal="left" vertical="center"/>
    </xf>
    <xf numFmtId="0" fontId="3" fillId="23" borderId="1" xfId="0" applyFont="1" applyFill="1" applyBorder="1" applyAlignment="1">
      <alignment horizontal="left" vertical="center"/>
    </xf>
    <xf numFmtId="0" fontId="3" fillId="16" borderId="1" xfId="0" applyFont="1" applyFill="1" applyBorder="1" applyAlignment="1">
      <alignment horizontal="left" vertical="center"/>
    </xf>
    <xf numFmtId="0" fontId="3" fillId="22" borderId="1" xfId="0" applyFont="1" applyFill="1" applyBorder="1" applyAlignment="1">
      <alignment horizontal="left" vertical="center"/>
    </xf>
    <xf numFmtId="0" fontId="21" fillId="15" borderId="2" xfId="0" applyFont="1" applyFill="1" applyBorder="1" applyAlignment="1">
      <alignment horizontal="left" vertical="center" wrapText="1"/>
    </xf>
    <xf numFmtId="0" fontId="18" fillId="4" borderId="0" xfId="0" applyFont="1" applyFill="1" applyAlignment="1">
      <alignment horizontal="left" vertical="center"/>
    </xf>
    <xf numFmtId="0" fontId="18" fillId="2" borderId="0" xfId="0" applyFont="1" applyFill="1" applyAlignment="1">
      <alignment horizontal="left" vertical="center"/>
    </xf>
    <xf numFmtId="0" fontId="18" fillId="12" borderId="0" xfId="0" applyFont="1" applyFill="1" applyAlignment="1">
      <alignment horizontal="left" vertical="center"/>
    </xf>
    <xf numFmtId="0" fontId="18" fillId="29" borderId="0" xfId="0" applyFont="1" applyFill="1" applyAlignment="1">
      <alignment horizontal="left" vertical="center"/>
    </xf>
    <xf numFmtId="0" fontId="18" fillId="16" borderId="0" xfId="0" applyFont="1" applyFill="1" applyAlignment="1">
      <alignment horizontal="left" vertical="center"/>
    </xf>
    <xf numFmtId="0" fontId="1" fillId="2" borderId="2" xfId="0" applyFont="1" applyFill="1" applyBorder="1" applyAlignment="1">
      <alignment horizontal="center" vertical="center"/>
    </xf>
    <xf numFmtId="0" fontId="9" fillId="3" borderId="2" xfId="0" applyFont="1" applyFill="1" applyBorder="1" applyAlignment="1">
      <alignment horizontal="left" vertical="center" wrapText="1"/>
    </xf>
    <xf numFmtId="0" fontId="18" fillId="26" borderId="0" xfId="0" applyFont="1" applyFill="1" applyAlignment="1">
      <alignment horizontal="left" vertical="center"/>
    </xf>
    <xf numFmtId="0" fontId="18" fillId="28" borderId="0" xfId="0" applyFont="1" applyFill="1" applyAlignment="1">
      <alignment horizontal="left" vertical="center"/>
    </xf>
    <xf numFmtId="0" fontId="18" fillId="14" borderId="0" xfId="0" applyFont="1" applyFill="1" applyAlignment="1">
      <alignment horizontal="left" vertical="center"/>
    </xf>
    <xf numFmtId="0" fontId="21" fillId="15" borderId="3" xfId="0" applyFont="1" applyFill="1" applyBorder="1" applyAlignment="1">
      <alignment horizontal="left" vertical="center" wrapText="1"/>
    </xf>
    <xf numFmtId="0" fontId="16" fillId="15" borderId="3" xfId="0" applyFont="1" applyFill="1" applyBorder="1" applyAlignment="1">
      <alignment horizontal="center" vertical="center"/>
    </xf>
    <xf numFmtId="0" fontId="3" fillId="33" borderId="0" xfId="0" applyFont="1" applyFill="1" applyAlignment="1">
      <alignment horizontal="left" vertical="center"/>
    </xf>
    <xf numFmtId="0" fontId="4" fillId="5" borderId="4" xfId="0" applyFont="1" applyFill="1" applyBorder="1" applyAlignment="1">
      <alignment horizontal="left" vertical="center" wrapText="1"/>
    </xf>
    <xf numFmtId="0" fontId="31" fillId="31" borderId="4" xfId="0" applyFont="1" applyFill="1" applyBorder="1" applyAlignment="1">
      <alignment horizontal="left" vertical="center"/>
    </xf>
    <xf numFmtId="0" fontId="4" fillId="5" borderId="4" xfId="0" applyFont="1" applyFill="1" applyBorder="1" applyAlignment="1">
      <alignment horizontal="left" vertical="center"/>
    </xf>
    <xf numFmtId="0" fontId="2" fillId="31" borderId="4" xfId="0" applyFont="1" applyFill="1" applyBorder="1" applyAlignment="1">
      <alignment horizontal="left" vertical="center"/>
    </xf>
    <xf numFmtId="0" fontId="11" fillId="15" borderId="3" xfId="0" applyFont="1" applyFill="1" applyBorder="1" applyAlignment="1">
      <alignment horizontal="left" vertical="center"/>
    </xf>
    <xf numFmtId="0" fontId="3" fillId="14" borderId="0" xfId="0" applyFont="1" applyFill="1" applyAlignment="1">
      <alignment horizontal="left" vertical="center"/>
    </xf>
    <xf numFmtId="0" fontId="10" fillId="15" borderId="4" xfId="0" applyFont="1" applyFill="1" applyBorder="1" applyAlignment="1">
      <alignment horizontal="center" vertical="center"/>
    </xf>
    <xf numFmtId="0" fontId="3" fillId="10" borderId="0" xfId="0" applyFont="1" applyFill="1" applyAlignment="1">
      <alignment horizontal="left" vertical="center"/>
    </xf>
    <xf numFmtId="0" fontId="25" fillId="31" borderId="4" xfId="0" applyFont="1" applyFill="1" applyBorder="1" applyAlignment="1">
      <alignment horizontal="left" vertical="center"/>
    </xf>
    <xf numFmtId="0" fontId="23" fillId="2" borderId="3" xfId="0" applyFont="1" applyFill="1" applyBorder="1" applyAlignment="1">
      <alignment horizontal="center" vertical="center"/>
    </xf>
    <xf numFmtId="0" fontId="24" fillId="3" borderId="0" xfId="0" applyFont="1" applyFill="1" applyAlignment="1">
      <alignment horizontal="left" vertical="center" wrapText="1"/>
    </xf>
    <xf numFmtId="0" fontId="3"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9E6"/>
      <rgbColor rgb="FFFF00FF"/>
      <rgbColor rgb="FF00FFFF"/>
      <rgbColor rgb="FFA50000"/>
      <rgbColor rgb="FF008000"/>
      <rgbColor rgb="FF000080"/>
      <rgbColor rgb="FF7F6000"/>
      <rgbColor rgb="FF800080"/>
      <rgbColor rgb="FF1F4E79"/>
      <rgbColor rgb="FFBFBFBF"/>
      <rgbColor rgb="FF4F4F4F"/>
      <rgbColor rgb="FFE8E8E8"/>
      <rgbColor rgb="FF7030A0"/>
      <rgbColor rgb="FFFFFDE7"/>
      <rgbColor rgb="FFEEF3F8"/>
      <rgbColor rgb="FF660066"/>
      <rgbColor rgb="FFFF8080"/>
      <rgbColor rgb="FF2E75B6"/>
      <rgbColor rgb="FFC5D9F1"/>
      <rgbColor rgb="FF000080"/>
      <rgbColor rgb="FFFF00FF"/>
      <rgbColor rgb="FFF2F2F2"/>
      <rgbColor rgb="FF00FFFF"/>
      <rgbColor rgb="FF800080"/>
      <rgbColor rgb="FF800000"/>
      <rgbColor rgb="FF008080"/>
      <rgbColor rgb="FF0000FF"/>
      <rgbColor rgb="FF00CCFF"/>
      <rgbColor rgb="FFD6E4F0"/>
      <rgbColor rgb="FFEBF1DE"/>
      <rgbColor rgb="FFFFF2CC"/>
      <rgbColor rgb="FFBDD7EE"/>
      <rgbColor rgb="FFF4CCCC"/>
      <rgbColor rgb="FFCCCCCC"/>
      <rgbColor rgb="FFFFCCCC"/>
      <rgbColor rgb="FF4472C4"/>
      <rgbColor rgb="FF33CCCC"/>
      <rgbColor rgb="FF99CC00"/>
      <rgbColor rgb="FFF7F7F7"/>
      <rgbColor rgb="FFFF9900"/>
      <rgbColor rgb="FFC55A11"/>
      <rgbColor rgb="FF595959"/>
      <rgbColor rgb="FF70AD47"/>
      <rgbColor rgb="FF1F3864"/>
      <rgbColor rgb="FF548235"/>
      <rgbColor rgb="FF243F60"/>
      <rgbColor rgb="FF375623"/>
      <rgbColor rgb="FF7F3F00"/>
      <rgbColor rgb="FF7F4F00"/>
      <rgbColor rgb="FF2644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zoomScaleNormal="100" workbookViewId="0">
      <pane ySplit="4" topLeftCell="A5" activePane="bottomLeft" state="frozen"/>
      <selection sqref="A1:O1"/>
      <selection pane="bottomLeft" sqref="A1:O1"/>
    </sheetView>
  </sheetViews>
  <sheetFormatPr defaultColWidth="8.6328125" defaultRowHeight="14.5" x14ac:dyDescent="0.35"/>
  <cols>
    <col min="1" max="1" width="14" customWidth="1"/>
    <col min="2" max="2" width="24" customWidth="1"/>
    <col min="3" max="3" width="10" customWidth="1"/>
    <col min="4" max="4" width="12" customWidth="1"/>
    <col min="5" max="5" width="14" customWidth="1"/>
    <col min="6" max="6" width="16" customWidth="1"/>
    <col min="7" max="7" width="10" customWidth="1"/>
    <col min="8" max="8" width="18" customWidth="1"/>
    <col min="9" max="9" width="14" customWidth="1"/>
  </cols>
  <sheetData>
    <row r="1" spans="1:11" ht="30" customHeight="1" x14ac:dyDescent="0.35">
      <c r="A1" s="77" t="s">
        <v>0</v>
      </c>
      <c r="B1" s="77"/>
      <c r="C1" s="77"/>
      <c r="D1" s="77"/>
      <c r="E1" s="77"/>
      <c r="F1" s="77"/>
      <c r="G1" s="77"/>
      <c r="H1" s="77"/>
      <c r="I1" s="77"/>
      <c r="J1" s="77"/>
      <c r="K1" s="77"/>
    </row>
    <row r="2" spans="1:11" ht="19.5" customHeight="1" x14ac:dyDescent="0.35">
      <c r="A2" s="78" t="s">
        <v>1</v>
      </c>
      <c r="B2" s="78"/>
      <c r="C2" s="78"/>
      <c r="D2" s="78"/>
      <c r="E2" s="78"/>
      <c r="F2" s="78"/>
      <c r="G2" s="78"/>
      <c r="H2" s="78"/>
      <c r="I2" s="78"/>
      <c r="J2" s="78"/>
      <c r="K2" s="78"/>
    </row>
    <row r="4" spans="1:11" ht="30" customHeight="1" x14ac:dyDescent="0.35">
      <c r="A4" s="1" t="s">
        <v>2</v>
      </c>
      <c r="B4" s="1" t="s">
        <v>3</v>
      </c>
      <c r="C4" s="1" t="s">
        <v>4</v>
      </c>
      <c r="D4" s="1" t="s">
        <v>5</v>
      </c>
      <c r="E4" s="1" t="s">
        <v>6</v>
      </c>
      <c r="F4" s="1" t="s">
        <v>7</v>
      </c>
      <c r="G4" s="1" t="s">
        <v>8</v>
      </c>
      <c r="H4" s="1" t="s">
        <v>9</v>
      </c>
      <c r="I4" s="1" t="s">
        <v>10</v>
      </c>
    </row>
    <row r="5" spans="1:11" ht="18" customHeight="1" x14ac:dyDescent="0.35">
      <c r="A5" s="2" t="s">
        <v>11</v>
      </c>
      <c r="B5" s="2" t="s">
        <v>12</v>
      </c>
      <c r="C5" s="3">
        <v>9</v>
      </c>
      <c r="D5" s="3" t="s">
        <v>13</v>
      </c>
      <c r="E5" s="3">
        <v>3</v>
      </c>
      <c r="F5" s="3">
        <v>6</v>
      </c>
      <c r="G5" s="3" t="s">
        <v>13</v>
      </c>
      <c r="H5" s="3" t="s">
        <v>14</v>
      </c>
      <c r="I5" s="4" t="s">
        <v>15</v>
      </c>
    </row>
    <row r="6" spans="1:11" ht="18" customHeight="1" x14ac:dyDescent="0.35">
      <c r="A6" s="5" t="s">
        <v>11</v>
      </c>
      <c r="B6" s="5" t="s">
        <v>16</v>
      </c>
      <c r="C6" s="6">
        <v>23</v>
      </c>
      <c r="D6" s="7">
        <v>1</v>
      </c>
      <c r="E6" s="6">
        <v>2</v>
      </c>
      <c r="F6" s="6">
        <v>16</v>
      </c>
      <c r="G6" s="6">
        <v>4</v>
      </c>
      <c r="H6" s="6" t="s">
        <v>17</v>
      </c>
      <c r="I6" s="8" t="s">
        <v>18</v>
      </c>
    </row>
    <row r="7" spans="1:11" ht="18" customHeight="1" x14ac:dyDescent="0.35">
      <c r="A7" s="9" t="s">
        <v>11</v>
      </c>
      <c r="B7" s="9" t="s">
        <v>19</v>
      </c>
      <c r="C7" s="10">
        <v>13</v>
      </c>
      <c r="D7" s="10" t="s">
        <v>13</v>
      </c>
      <c r="E7" s="10">
        <v>5</v>
      </c>
      <c r="F7" s="10">
        <v>8</v>
      </c>
      <c r="G7" s="10" t="s">
        <v>13</v>
      </c>
      <c r="H7" s="10" t="s">
        <v>20</v>
      </c>
      <c r="I7" s="11" t="s">
        <v>21</v>
      </c>
    </row>
    <row r="8" spans="1:11" ht="18" customHeight="1" x14ac:dyDescent="0.35">
      <c r="A8" s="5" t="s">
        <v>11</v>
      </c>
      <c r="B8" s="5" t="s">
        <v>22</v>
      </c>
      <c r="C8" s="6">
        <v>44</v>
      </c>
      <c r="D8" s="7">
        <v>1</v>
      </c>
      <c r="E8" s="6">
        <v>2</v>
      </c>
      <c r="F8" s="6">
        <v>41</v>
      </c>
      <c r="G8" s="6" t="s">
        <v>13</v>
      </c>
      <c r="H8" s="6" t="s">
        <v>23</v>
      </c>
      <c r="I8" s="8" t="s">
        <v>18</v>
      </c>
    </row>
    <row r="9" spans="1:11" ht="18" customHeight="1" x14ac:dyDescent="0.35">
      <c r="A9" s="5" t="s">
        <v>11</v>
      </c>
      <c r="B9" s="5" t="s">
        <v>24</v>
      </c>
      <c r="C9" s="6">
        <v>14</v>
      </c>
      <c r="D9" s="7">
        <v>1</v>
      </c>
      <c r="E9" s="6">
        <v>2</v>
      </c>
      <c r="F9" s="6">
        <v>11</v>
      </c>
      <c r="G9" s="6" t="s">
        <v>13</v>
      </c>
      <c r="H9" s="6" t="s">
        <v>25</v>
      </c>
      <c r="I9" s="8" t="s">
        <v>18</v>
      </c>
    </row>
    <row r="10" spans="1:11" ht="18" customHeight="1" x14ac:dyDescent="0.35">
      <c r="A10" s="12" t="s">
        <v>26</v>
      </c>
      <c r="B10" s="12" t="s">
        <v>27</v>
      </c>
      <c r="C10" s="13">
        <v>15</v>
      </c>
      <c r="D10" s="13" t="s">
        <v>13</v>
      </c>
      <c r="E10" s="13" t="s">
        <v>13</v>
      </c>
      <c r="F10" s="13">
        <v>15</v>
      </c>
      <c r="G10" s="13" t="s">
        <v>13</v>
      </c>
      <c r="H10" s="13" t="s">
        <v>28</v>
      </c>
      <c r="I10" s="14" t="s">
        <v>15</v>
      </c>
    </row>
    <row r="11" spans="1:11" ht="18" customHeight="1" x14ac:dyDescent="0.35">
      <c r="A11" s="2" t="s">
        <v>29</v>
      </c>
      <c r="B11" s="2" t="s">
        <v>29</v>
      </c>
      <c r="C11" s="3">
        <v>6</v>
      </c>
      <c r="D11" s="3" t="s">
        <v>13</v>
      </c>
      <c r="E11" s="3" t="s">
        <v>13</v>
      </c>
      <c r="F11" s="3">
        <v>6</v>
      </c>
      <c r="G11" s="3" t="s">
        <v>13</v>
      </c>
      <c r="H11" s="3" t="s">
        <v>28</v>
      </c>
      <c r="I11" s="4" t="s">
        <v>15</v>
      </c>
    </row>
    <row r="12" spans="1:11" ht="18" customHeight="1" x14ac:dyDescent="0.35">
      <c r="A12" s="15" t="s">
        <v>30</v>
      </c>
      <c r="B12" s="15" t="s">
        <v>31</v>
      </c>
      <c r="C12" s="16">
        <v>4</v>
      </c>
      <c r="D12" s="16" t="s">
        <v>13</v>
      </c>
      <c r="E12" s="16">
        <v>1</v>
      </c>
      <c r="F12" s="16">
        <v>3</v>
      </c>
      <c r="G12" s="16" t="s">
        <v>13</v>
      </c>
      <c r="H12" s="16" t="s">
        <v>32</v>
      </c>
      <c r="I12" s="17" t="s">
        <v>15</v>
      </c>
    </row>
    <row r="13" spans="1:11" ht="18" customHeight="1" x14ac:dyDescent="0.35">
      <c r="A13" s="2" t="s">
        <v>30</v>
      </c>
      <c r="B13" s="2" t="s">
        <v>33</v>
      </c>
      <c r="C13" s="3">
        <v>2</v>
      </c>
      <c r="D13" s="3" t="s">
        <v>13</v>
      </c>
      <c r="E13" s="3" t="s">
        <v>13</v>
      </c>
      <c r="F13" s="3">
        <v>2</v>
      </c>
      <c r="G13" s="3" t="s">
        <v>13</v>
      </c>
      <c r="H13" s="3" t="s">
        <v>28</v>
      </c>
      <c r="I13" s="4" t="s">
        <v>15</v>
      </c>
    </row>
    <row r="14" spans="1:11" ht="18" customHeight="1" x14ac:dyDescent="0.35">
      <c r="A14" s="15" t="s">
        <v>30</v>
      </c>
      <c r="B14" s="15" t="s">
        <v>34</v>
      </c>
      <c r="C14" s="16">
        <v>1</v>
      </c>
      <c r="D14" s="16" t="s">
        <v>13</v>
      </c>
      <c r="E14" s="16" t="s">
        <v>13</v>
      </c>
      <c r="F14" s="16">
        <v>1</v>
      </c>
      <c r="G14" s="16" t="s">
        <v>13</v>
      </c>
      <c r="H14" s="16" t="s">
        <v>28</v>
      </c>
      <c r="I14" s="17" t="s">
        <v>15</v>
      </c>
    </row>
    <row r="15" spans="1:11" ht="18" customHeight="1" x14ac:dyDescent="0.35">
      <c r="A15" s="5" t="s">
        <v>30</v>
      </c>
      <c r="B15" s="5" t="s">
        <v>35</v>
      </c>
      <c r="C15" s="6">
        <v>21</v>
      </c>
      <c r="D15" s="7">
        <v>1</v>
      </c>
      <c r="E15" s="6">
        <v>3</v>
      </c>
      <c r="F15" s="6">
        <v>16</v>
      </c>
      <c r="G15" s="6">
        <v>1</v>
      </c>
      <c r="H15" s="6" t="s">
        <v>36</v>
      </c>
      <c r="I15" s="8" t="s">
        <v>18</v>
      </c>
    </row>
    <row r="16" spans="1:11" ht="19.5" customHeight="1" x14ac:dyDescent="0.35">
      <c r="A16" s="79" t="s">
        <v>37</v>
      </c>
      <c r="B16" s="79"/>
      <c r="C16" s="18">
        <v>152</v>
      </c>
      <c r="D16" s="18">
        <v>4</v>
      </c>
      <c r="E16" s="18">
        <v>18</v>
      </c>
      <c r="F16" s="18">
        <v>125</v>
      </c>
      <c r="G16" s="18">
        <v>5</v>
      </c>
      <c r="H16" s="18" t="s">
        <v>38</v>
      </c>
      <c r="I16" s="18"/>
    </row>
  </sheetData>
  <mergeCells count="3">
    <mergeCell ref="A1:K1"/>
    <mergeCell ref="A2:K2"/>
    <mergeCell ref="A16:B1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13"/>
  <sheetViews>
    <sheetView zoomScaleNormal="100" workbookViewId="0">
      <pane ySplit="4" topLeftCell="A105" activePane="bottomLeft" state="frozen"/>
      <selection sqref="A1:O1"/>
      <selection pane="bottomLeft" activeCell="C99" sqref="C99:D112"/>
    </sheetView>
  </sheetViews>
  <sheetFormatPr defaultColWidth="8.6328125" defaultRowHeight="14.5" x14ac:dyDescent="0.35"/>
  <cols>
    <col min="1" max="1" width="4" customWidth="1"/>
    <col min="2" max="2" width="7" customWidth="1"/>
    <col min="3" max="3" width="31.36328125" bestFit="1" customWidth="1"/>
    <col min="4" max="4" width="22" customWidth="1"/>
    <col min="5" max="5" width="24" customWidth="1"/>
    <col min="6" max="6" width="7" customWidth="1"/>
    <col min="7" max="7" width="24" customWidth="1"/>
    <col min="8" max="9" width="7" customWidth="1"/>
    <col min="10" max="10" width="8" customWidth="1"/>
    <col min="11" max="11" width="7" customWidth="1"/>
    <col min="12" max="12" width="8" customWidth="1"/>
    <col min="13" max="14" width="16" customWidth="1"/>
    <col min="15" max="15" width="8" customWidth="1"/>
  </cols>
  <sheetData>
    <row r="1" spans="1:15" ht="25.5" customHeight="1" x14ac:dyDescent="0.35">
      <c r="A1" s="73" t="s">
        <v>39</v>
      </c>
      <c r="B1" s="73"/>
      <c r="C1" s="73"/>
      <c r="D1" s="73"/>
      <c r="E1" s="73"/>
      <c r="F1" s="73"/>
      <c r="G1" s="73"/>
      <c r="H1" s="73"/>
      <c r="I1" s="73"/>
      <c r="J1" s="73"/>
      <c r="K1" s="73"/>
      <c r="L1" s="73"/>
      <c r="M1" s="73"/>
      <c r="N1" s="73"/>
      <c r="O1" s="73"/>
    </row>
    <row r="2" spans="1:15" ht="12.75" customHeight="1" x14ac:dyDescent="0.35">
      <c r="A2" s="74" t="s">
        <v>40</v>
      </c>
      <c r="B2" s="74"/>
      <c r="C2" s="74"/>
      <c r="D2" s="74"/>
      <c r="E2" s="74"/>
      <c r="F2" s="74"/>
      <c r="G2" s="74"/>
      <c r="H2" s="74"/>
      <c r="I2" s="74"/>
      <c r="J2" s="74"/>
      <c r="K2" s="74"/>
      <c r="L2" s="74"/>
      <c r="M2" s="74"/>
      <c r="N2" s="74"/>
      <c r="O2" s="74"/>
    </row>
    <row r="4" spans="1:15" ht="30" customHeight="1" x14ac:dyDescent="0.35">
      <c r="A4" s="1" t="s">
        <v>41</v>
      </c>
      <c r="B4" s="1" t="s">
        <v>42</v>
      </c>
      <c r="C4" s="1" t="s">
        <v>43</v>
      </c>
      <c r="D4" s="1" t="s">
        <v>44</v>
      </c>
      <c r="E4" s="1" t="s">
        <v>45</v>
      </c>
      <c r="F4" s="1" t="s">
        <v>46</v>
      </c>
      <c r="G4" s="1" t="s">
        <v>47</v>
      </c>
      <c r="H4" s="1" t="s">
        <v>48</v>
      </c>
      <c r="I4" s="1" t="s">
        <v>49</v>
      </c>
      <c r="J4" s="1" t="s">
        <v>50</v>
      </c>
      <c r="K4" s="1" t="s">
        <v>51</v>
      </c>
      <c r="L4" s="1" t="s">
        <v>52</v>
      </c>
      <c r="M4" s="1" t="s">
        <v>53</v>
      </c>
      <c r="N4" s="1" t="s">
        <v>54</v>
      </c>
      <c r="O4" s="1" t="s">
        <v>55</v>
      </c>
    </row>
    <row r="5" spans="1:15" ht="18" customHeight="1" x14ac:dyDescent="0.35">
      <c r="A5" s="81" t="s">
        <v>56</v>
      </c>
      <c r="B5" s="81"/>
      <c r="C5" s="81"/>
      <c r="D5" s="81"/>
      <c r="E5" s="81"/>
      <c r="F5" s="81"/>
      <c r="G5" s="81"/>
      <c r="H5" s="81"/>
      <c r="I5" s="81"/>
      <c r="J5" s="81"/>
      <c r="K5" s="81"/>
      <c r="L5" s="81"/>
      <c r="M5" s="81"/>
      <c r="N5" s="81"/>
      <c r="O5" s="81"/>
    </row>
    <row r="6" spans="1:15" ht="18" customHeight="1" x14ac:dyDescent="0.35">
      <c r="A6" s="19">
        <v>1</v>
      </c>
      <c r="B6" s="20" t="s">
        <v>57</v>
      </c>
      <c r="C6" s="21"/>
      <c r="D6" s="21"/>
      <c r="E6" s="21" t="s">
        <v>58</v>
      </c>
      <c r="F6" s="19" t="s">
        <v>59</v>
      </c>
      <c r="G6" s="21" t="s">
        <v>60</v>
      </c>
      <c r="H6" s="19" t="s">
        <v>61</v>
      </c>
      <c r="I6" s="22">
        <v>610</v>
      </c>
      <c r="J6" s="22">
        <v>788</v>
      </c>
      <c r="K6" s="22">
        <v>957</v>
      </c>
      <c r="L6" s="20">
        <v>1681.62</v>
      </c>
      <c r="M6" s="23" t="s">
        <v>62</v>
      </c>
      <c r="N6" s="24" t="s">
        <v>63</v>
      </c>
      <c r="O6" s="19" t="s">
        <v>64</v>
      </c>
    </row>
    <row r="7" spans="1:15" ht="18" customHeight="1" x14ac:dyDescent="0.35">
      <c r="A7" s="19">
        <v>2</v>
      </c>
      <c r="B7" s="20" t="s">
        <v>65</v>
      </c>
      <c r="C7" s="21"/>
      <c r="D7" s="21"/>
      <c r="E7" s="21" t="s">
        <v>66</v>
      </c>
      <c r="F7" s="19" t="s">
        <v>67</v>
      </c>
      <c r="G7" s="21" t="s">
        <v>68</v>
      </c>
      <c r="H7" s="19" t="s">
        <v>61</v>
      </c>
      <c r="I7" s="22">
        <v>546</v>
      </c>
      <c r="J7" s="22">
        <v>923</v>
      </c>
      <c r="K7" s="22">
        <v>1078</v>
      </c>
      <c r="L7" s="20">
        <v>1022.58</v>
      </c>
      <c r="M7" s="23" t="s">
        <v>7</v>
      </c>
      <c r="N7" s="24" t="s">
        <v>69</v>
      </c>
      <c r="O7" s="19" t="s">
        <v>70</v>
      </c>
    </row>
    <row r="8" spans="1:15" ht="18" customHeight="1" x14ac:dyDescent="0.35">
      <c r="A8" s="19">
        <v>3</v>
      </c>
      <c r="B8" s="20" t="s">
        <v>71</v>
      </c>
      <c r="C8" s="21"/>
      <c r="D8" s="21"/>
      <c r="E8" s="21" t="s">
        <v>72</v>
      </c>
      <c r="F8" s="19" t="s">
        <v>73</v>
      </c>
      <c r="G8" s="21" t="s">
        <v>74</v>
      </c>
      <c r="H8" s="19" t="s">
        <v>61</v>
      </c>
      <c r="I8" s="22">
        <v>632</v>
      </c>
      <c r="J8" s="22">
        <v>825</v>
      </c>
      <c r="K8" s="22">
        <v>957</v>
      </c>
      <c r="L8" s="20">
        <v>843.63</v>
      </c>
      <c r="M8" s="23" t="s">
        <v>7</v>
      </c>
      <c r="N8" s="24" t="s">
        <v>75</v>
      </c>
      <c r="O8" s="19" t="s">
        <v>76</v>
      </c>
    </row>
    <row r="9" spans="1:15" ht="18" customHeight="1" x14ac:dyDescent="0.35">
      <c r="A9" s="19">
        <v>4</v>
      </c>
      <c r="B9" s="20" t="s">
        <v>77</v>
      </c>
      <c r="C9" s="21"/>
      <c r="D9" s="21"/>
      <c r="E9" s="21" t="s">
        <v>72</v>
      </c>
      <c r="F9" s="19" t="s">
        <v>73</v>
      </c>
      <c r="G9" s="21" t="s">
        <v>74</v>
      </c>
      <c r="H9" s="19" t="s">
        <v>61</v>
      </c>
      <c r="I9" s="22">
        <v>632</v>
      </c>
      <c r="J9" s="22">
        <v>825</v>
      </c>
      <c r="K9" s="22">
        <v>957</v>
      </c>
      <c r="L9" s="20">
        <v>868.07</v>
      </c>
      <c r="M9" s="23" t="s">
        <v>7</v>
      </c>
      <c r="N9" s="24" t="s">
        <v>78</v>
      </c>
      <c r="O9" s="19" t="s">
        <v>76</v>
      </c>
    </row>
    <row r="10" spans="1:15" ht="18" customHeight="1" x14ac:dyDescent="0.35">
      <c r="A10" s="10">
        <v>5</v>
      </c>
      <c r="B10" s="25" t="s">
        <v>79</v>
      </c>
      <c r="C10" s="9"/>
      <c r="D10" s="9"/>
      <c r="E10" s="9" t="s">
        <v>80</v>
      </c>
      <c r="F10" s="10" t="s">
        <v>73</v>
      </c>
      <c r="G10" s="9" t="s">
        <v>74</v>
      </c>
      <c r="H10" s="10" t="s">
        <v>61</v>
      </c>
      <c r="I10" s="26">
        <v>632</v>
      </c>
      <c r="J10" s="26">
        <v>825</v>
      </c>
      <c r="K10" s="26">
        <v>957</v>
      </c>
      <c r="L10" s="25">
        <v>715.81</v>
      </c>
      <c r="M10" s="27" t="s">
        <v>6</v>
      </c>
      <c r="N10" s="28" t="s">
        <v>81</v>
      </c>
      <c r="O10" s="10" t="s">
        <v>82</v>
      </c>
    </row>
    <row r="11" spans="1:15" ht="18" customHeight="1" x14ac:dyDescent="0.35">
      <c r="A11" s="10">
        <v>1</v>
      </c>
      <c r="B11" s="25" t="s">
        <v>83</v>
      </c>
      <c r="C11" s="9"/>
      <c r="D11" s="9"/>
      <c r="E11" s="9" t="s">
        <v>84</v>
      </c>
      <c r="F11" s="10" t="s">
        <v>85</v>
      </c>
      <c r="G11" s="9" t="s">
        <v>86</v>
      </c>
      <c r="H11" s="10" t="s">
        <v>87</v>
      </c>
      <c r="I11" s="26">
        <v>966</v>
      </c>
      <c r="J11" s="26">
        <v>1245</v>
      </c>
      <c r="K11" s="26">
        <v>1418</v>
      </c>
      <c r="L11" s="25">
        <v>1227.0999999999999</v>
      </c>
      <c r="M11" s="27" t="s">
        <v>6</v>
      </c>
      <c r="N11" s="28" t="s">
        <v>88</v>
      </c>
      <c r="O11" s="10" t="s">
        <v>89</v>
      </c>
    </row>
    <row r="12" spans="1:15" ht="18" customHeight="1" x14ac:dyDescent="0.35">
      <c r="A12" s="19">
        <v>2</v>
      </c>
      <c r="B12" s="20" t="s">
        <v>90</v>
      </c>
      <c r="C12" s="21"/>
      <c r="D12" s="21"/>
      <c r="E12" s="21" t="s">
        <v>91</v>
      </c>
      <c r="F12" s="19" t="s">
        <v>92</v>
      </c>
      <c r="G12" s="21" t="s">
        <v>93</v>
      </c>
      <c r="H12" s="19" t="s">
        <v>87</v>
      </c>
      <c r="I12" s="22">
        <v>521</v>
      </c>
      <c r="J12" s="22">
        <v>598</v>
      </c>
      <c r="K12" s="22">
        <v>724</v>
      </c>
      <c r="L12" s="20">
        <v>766.94</v>
      </c>
      <c r="M12" s="23" t="s">
        <v>62</v>
      </c>
      <c r="N12" s="24" t="s">
        <v>63</v>
      </c>
      <c r="O12" s="19" t="s">
        <v>89</v>
      </c>
    </row>
    <row r="13" spans="1:15" ht="18" customHeight="1" x14ac:dyDescent="0.35">
      <c r="A13" s="19">
        <v>3</v>
      </c>
      <c r="B13" s="20" t="s">
        <v>94</v>
      </c>
      <c r="C13" s="21"/>
      <c r="D13" s="21"/>
      <c r="E13" s="21" t="s">
        <v>91</v>
      </c>
      <c r="F13" s="19" t="s">
        <v>92</v>
      </c>
      <c r="G13" s="21" t="s">
        <v>93</v>
      </c>
      <c r="H13" s="19" t="s">
        <v>87</v>
      </c>
      <c r="I13" s="22">
        <v>521</v>
      </c>
      <c r="J13" s="22">
        <v>598</v>
      </c>
      <c r="K13" s="22">
        <v>724</v>
      </c>
      <c r="L13" s="20">
        <v>715.81</v>
      </c>
      <c r="M13" s="23" t="s">
        <v>7</v>
      </c>
      <c r="N13" s="24" t="s">
        <v>95</v>
      </c>
      <c r="O13" s="19" t="s">
        <v>89</v>
      </c>
    </row>
    <row r="14" spans="1:15" ht="18" customHeight="1" x14ac:dyDescent="0.35">
      <c r="A14" s="10">
        <v>4</v>
      </c>
      <c r="B14" s="25" t="s">
        <v>96</v>
      </c>
      <c r="C14" s="9"/>
      <c r="D14" s="9"/>
      <c r="E14" s="9" t="s">
        <v>97</v>
      </c>
      <c r="F14" s="10" t="s">
        <v>85</v>
      </c>
      <c r="G14" s="9" t="s">
        <v>86</v>
      </c>
      <c r="H14" s="10" t="s">
        <v>87</v>
      </c>
      <c r="I14" s="26">
        <v>966</v>
      </c>
      <c r="J14" s="26">
        <v>1245</v>
      </c>
      <c r="K14" s="26">
        <v>1418</v>
      </c>
      <c r="L14" s="25">
        <v>1201.54</v>
      </c>
      <c r="M14" s="27" t="s">
        <v>6</v>
      </c>
      <c r="N14" s="28" t="s">
        <v>98</v>
      </c>
      <c r="O14" s="10" t="s">
        <v>89</v>
      </c>
    </row>
    <row r="15" spans="1:15" ht="18" customHeight="1" x14ac:dyDescent="0.35">
      <c r="A15" s="82" t="s">
        <v>99</v>
      </c>
      <c r="B15" s="82"/>
      <c r="C15" s="82"/>
      <c r="D15" s="82"/>
      <c r="E15" s="82"/>
      <c r="F15" s="82"/>
      <c r="G15" s="82"/>
      <c r="H15" s="82"/>
      <c r="I15" s="82"/>
      <c r="J15" s="82"/>
      <c r="K15" s="82"/>
      <c r="L15" s="82"/>
      <c r="M15" s="82"/>
      <c r="N15" s="82"/>
      <c r="O15" s="82"/>
    </row>
    <row r="16" spans="1:15" ht="18" customHeight="1" x14ac:dyDescent="0.35">
      <c r="A16" s="19">
        <v>1</v>
      </c>
      <c r="B16" s="20" t="s">
        <v>100</v>
      </c>
      <c r="C16" s="21"/>
      <c r="D16" s="21"/>
      <c r="E16" s="21" t="s">
        <v>101</v>
      </c>
      <c r="F16" s="19" t="s">
        <v>102</v>
      </c>
      <c r="G16" s="21" t="s">
        <v>103</v>
      </c>
      <c r="H16" s="19" t="s">
        <v>87</v>
      </c>
      <c r="I16" s="22">
        <v>1125</v>
      </c>
      <c r="J16" s="22">
        <v>1449</v>
      </c>
      <c r="K16" s="22">
        <v>1680</v>
      </c>
      <c r="L16" s="20">
        <v>1533.88</v>
      </c>
      <c r="M16" s="23" t="s">
        <v>7</v>
      </c>
      <c r="N16" s="24" t="s">
        <v>104</v>
      </c>
      <c r="O16" s="19" t="s">
        <v>105</v>
      </c>
    </row>
    <row r="17" spans="1:15" ht="18" customHeight="1" x14ac:dyDescent="0.35">
      <c r="A17" s="19">
        <v>2</v>
      </c>
      <c r="B17" s="20" t="s">
        <v>106</v>
      </c>
      <c r="C17" s="21"/>
      <c r="D17" s="21"/>
      <c r="E17" s="21" t="s">
        <v>107</v>
      </c>
      <c r="F17" s="19" t="s">
        <v>108</v>
      </c>
      <c r="G17" s="21" t="s">
        <v>109</v>
      </c>
      <c r="H17" s="19" t="s">
        <v>87</v>
      </c>
      <c r="I17" s="22">
        <v>604</v>
      </c>
      <c r="J17" s="22">
        <v>735</v>
      </c>
      <c r="K17" s="22">
        <v>861</v>
      </c>
      <c r="L17" s="20">
        <v>919.2</v>
      </c>
      <c r="M17" s="23" t="s">
        <v>62</v>
      </c>
      <c r="N17" s="24" t="s">
        <v>63</v>
      </c>
      <c r="O17" s="19" t="s">
        <v>105</v>
      </c>
    </row>
    <row r="18" spans="1:15" ht="18" customHeight="1" x14ac:dyDescent="0.35">
      <c r="A18" s="10">
        <v>3</v>
      </c>
      <c r="B18" s="25" t="s">
        <v>110</v>
      </c>
      <c r="C18" s="9"/>
      <c r="D18" s="9"/>
      <c r="E18" s="9" t="s">
        <v>111</v>
      </c>
      <c r="F18" s="10" t="s">
        <v>112</v>
      </c>
      <c r="G18" s="9" t="s">
        <v>113</v>
      </c>
      <c r="H18" s="10" t="s">
        <v>87</v>
      </c>
      <c r="I18" s="26">
        <v>804</v>
      </c>
      <c r="J18" s="26">
        <v>1036</v>
      </c>
      <c r="K18" s="26">
        <v>1208</v>
      </c>
      <c r="L18" s="25">
        <v>1022.58</v>
      </c>
      <c r="M18" s="27" t="s">
        <v>6</v>
      </c>
      <c r="N18" s="28" t="s">
        <v>114</v>
      </c>
      <c r="O18" s="10" t="s">
        <v>105</v>
      </c>
    </row>
    <row r="19" spans="1:15" ht="18" customHeight="1" x14ac:dyDescent="0.35">
      <c r="A19" s="19">
        <v>4</v>
      </c>
      <c r="B19" s="20" t="s">
        <v>115</v>
      </c>
      <c r="C19" s="21"/>
      <c r="D19" s="21"/>
      <c r="E19" s="21" t="s">
        <v>80</v>
      </c>
      <c r="F19" s="19" t="s">
        <v>108</v>
      </c>
      <c r="G19" s="21" t="s">
        <v>109</v>
      </c>
      <c r="H19" s="19" t="s">
        <v>87</v>
      </c>
      <c r="I19" s="22">
        <v>604</v>
      </c>
      <c r="J19" s="22">
        <v>735</v>
      </c>
      <c r="K19" s="22">
        <v>861</v>
      </c>
      <c r="L19" s="20">
        <v>823.18</v>
      </c>
      <c r="M19" s="23" t="s">
        <v>7</v>
      </c>
      <c r="N19" s="24" t="s">
        <v>116</v>
      </c>
      <c r="O19" s="19" t="s">
        <v>117</v>
      </c>
    </row>
    <row r="20" spans="1:15" ht="18" customHeight="1" x14ac:dyDescent="0.35">
      <c r="A20" s="19">
        <v>5</v>
      </c>
      <c r="B20" s="20" t="s">
        <v>118</v>
      </c>
      <c r="C20" s="21"/>
      <c r="D20" s="21"/>
      <c r="E20" s="21" t="s">
        <v>80</v>
      </c>
      <c r="F20" s="19" t="s">
        <v>108</v>
      </c>
      <c r="G20" s="21" t="s">
        <v>109</v>
      </c>
      <c r="H20" s="19" t="s">
        <v>87</v>
      </c>
      <c r="I20" s="22">
        <v>604</v>
      </c>
      <c r="J20" s="22">
        <v>735</v>
      </c>
      <c r="K20" s="22">
        <v>861</v>
      </c>
      <c r="L20" s="20">
        <v>818.07</v>
      </c>
      <c r="M20" s="23" t="s">
        <v>7</v>
      </c>
      <c r="N20" s="24" t="s">
        <v>119</v>
      </c>
      <c r="O20" s="19" t="s">
        <v>117</v>
      </c>
    </row>
    <row r="21" spans="1:15" ht="18" customHeight="1" x14ac:dyDescent="0.35">
      <c r="A21" s="19">
        <v>6</v>
      </c>
      <c r="B21" s="20" t="s">
        <v>120</v>
      </c>
      <c r="C21" s="21"/>
      <c r="D21" s="21"/>
      <c r="E21" s="21" t="s">
        <v>111</v>
      </c>
      <c r="F21" s="19" t="s">
        <v>112</v>
      </c>
      <c r="G21" s="21" t="s">
        <v>113</v>
      </c>
      <c r="H21" s="19" t="s">
        <v>87</v>
      </c>
      <c r="I21" s="22">
        <v>804</v>
      </c>
      <c r="J21" s="22">
        <v>1036</v>
      </c>
      <c r="K21" s="22">
        <v>1208</v>
      </c>
      <c r="L21" s="20">
        <v>1073.71</v>
      </c>
      <c r="M21" s="23" t="s">
        <v>7</v>
      </c>
      <c r="N21" s="24" t="s">
        <v>121</v>
      </c>
      <c r="O21" s="19" t="s">
        <v>122</v>
      </c>
    </row>
    <row r="22" spans="1:15" ht="18" customHeight="1" x14ac:dyDescent="0.35">
      <c r="A22" s="10">
        <v>7</v>
      </c>
      <c r="B22" s="25" t="s">
        <v>123</v>
      </c>
      <c r="C22" s="9"/>
      <c r="D22" s="9"/>
      <c r="E22" s="9" t="s">
        <v>111</v>
      </c>
      <c r="F22" s="10" t="s">
        <v>112</v>
      </c>
      <c r="G22" s="9" t="s">
        <v>113</v>
      </c>
      <c r="H22" s="10" t="s">
        <v>87</v>
      </c>
      <c r="I22" s="26">
        <v>804</v>
      </c>
      <c r="J22" s="26">
        <v>1036</v>
      </c>
      <c r="K22" s="26">
        <v>1208</v>
      </c>
      <c r="L22" s="25">
        <v>972.07</v>
      </c>
      <c r="M22" s="27" t="s">
        <v>6</v>
      </c>
      <c r="N22" s="28" t="s">
        <v>124</v>
      </c>
      <c r="O22" s="10" t="s">
        <v>105</v>
      </c>
    </row>
    <row r="23" spans="1:15" ht="18" customHeight="1" x14ac:dyDescent="0.35">
      <c r="A23" s="19">
        <v>8</v>
      </c>
      <c r="B23" s="20" t="s">
        <v>125</v>
      </c>
      <c r="C23" s="21"/>
      <c r="D23" s="21"/>
      <c r="E23" s="21" t="s">
        <v>111</v>
      </c>
      <c r="F23" s="19" t="s">
        <v>112</v>
      </c>
      <c r="G23" s="21" t="s">
        <v>113</v>
      </c>
      <c r="H23" s="19" t="s">
        <v>87</v>
      </c>
      <c r="I23" s="22">
        <v>804</v>
      </c>
      <c r="J23" s="22">
        <v>1036</v>
      </c>
      <c r="K23" s="22">
        <v>1208</v>
      </c>
      <c r="L23" s="20">
        <v>1124.8399999999999</v>
      </c>
      <c r="M23" s="23" t="s">
        <v>7</v>
      </c>
      <c r="N23" s="24" t="s">
        <v>126</v>
      </c>
      <c r="O23" s="19" t="s">
        <v>127</v>
      </c>
    </row>
    <row r="24" spans="1:15" ht="18" customHeight="1" x14ac:dyDescent="0.35">
      <c r="A24" s="19">
        <v>9</v>
      </c>
      <c r="B24" s="20" t="s">
        <v>128</v>
      </c>
      <c r="C24" s="21"/>
      <c r="D24" s="21"/>
      <c r="E24" s="21" t="s">
        <v>107</v>
      </c>
      <c r="F24" s="19" t="s">
        <v>108</v>
      </c>
      <c r="G24" s="21" t="s">
        <v>109</v>
      </c>
      <c r="H24" s="19" t="s">
        <v>87</v>
      </c>
      <c r="I24" s="22">
        <v>604</v>
      </c>
      <c r="J24" s="22">
        <v>735</v>
      </c>
      <c r="K24" s="22">
        <v>861</v>
      </c>
      <c r="L24" s="20">
        <v>970.33</v>
      </c>
      <c r="M24" s="23" t="s">
        <v>62</v>
      </c>
      <c r="N24" s="24" t="s">
        <v>63</v>
      </c>
      <c r="O24" s="19" t="s">
        <v>105</v>
      </c>
    </row>
    <row r="25" spans="1:15" ht="18" customHeight="1" x14ac:dyDescent="0.35">
      <c r="A25" s="19">
        <v>10</v>
      </c>
      <c r="B25" s="20" t="s">
        <v>129</v>
      </c>
      <c r="C25" s="21"/>
      <c r="D25" s="21"/>
      <c r="E25" s="21" t="s">
        <v>107</v>
      </c>
      <c r="F25" s="19" t="s">
        <v>108</v>
      </c>
      <c r="G25" s="21" t="s">
        <v>109</v>
      </c>
      <c r="H25" s="19" t="s">
        <v>87</v>
      </c>
      <c r="I25" s="22">
        <v>604</v>
      </c>
      <c r="J25" s="22">
        <v>735</v>
      </c>
      <c r="K25" s="22">
        <v>861</v>
      </c>
      <c r="L25" s="20">
        <v>920.33</v>
      </c>
      <c r="M25" s="23" t="s">
        <v>62</v>
      </c>
      <c r="N25" s="24" t="s">
        <v>63</v>
      </c>
      <c r="O25" s="19" t="s">
        <v>127</v>
      </c>
    </row>
    <row r="26" spans="1:15" ht="18" customHeight="1" x14ac:dyDescent="0.35">
      <c r="A26" s="19">
        <v>11</v>
      </c>
      <c r="B26" s="20" t="s">
        <v>130</v>
      </c>
      <c r="C26" s="21"/>
      <c r="D26" s="21"/>
      <c r="E26" s="21" t="s">
        <v>131</v>
      </c>
      <c r="F26" s="19" t="s">
        <v>132</v>
      </c>
      <c r="G26" s="21" t="s">
        <v>133</v>
      </c>
      <c r="H26" s="19" t="s">
        <v>87</v>
      </c>
      <c r="I26" s="22">
        <v>804</v>
      </c>
      <c r="J26" s="22">
        <v>1036</v>
      </c>
      <c r="K26" s="22">
        <v>1260</v>
      </c>
      <c r="L26" s="20">
        <v>1278.23</v>
      </c>
      <c r="M26" s="23" t="s">
        <v>62</v>
      </c>
      <c r="N26" s="24" t="s">
        <v>63</v>
      </c>
      <c r="O26" s="19" t="s">
        <v>134</v>
      </c>
    </row>
    <row r="27" spans="1:15" ht="18" customHeight="1" x14ac:dyDescent="0.35">
      <c r="A27" s="19">
        <v>12</v>
      </c>
      <c r="B27" s="20" t="s">
        <v>135</v>
      </c>
      <c r="C27" s="21"/>
      <c r="D27" s="21"/>
      <c r="E27" s="21" t="s">
        <v>107</v>
      </c>
      <c r="F27" s="19" t="s">
        <v>108</v>
      </c>
      <c r="G27" s="21" t="s">
        <v>109</v>
      </c>
      <c r="H27" s="19" t="s">
        <v>87</v>
      </c>
      <c r="I27" s="22">
        <v>604</v>
      </c>
      <c r="J27" s="22">
        <v>735</v>
      </c>
      <c r="K27" s="22">
        <v>861</v>
      </c>
      <c r="L27" s="20">
        <v>818.07</v>
      </c>
      <c r="M27" s="23" t="s">
        <v>7</v>
      </c>
      <c r="N27" s="24" t="s">
        <v>119</v>
      </c>
      <c r="O27" s="19" t="s">
        <v>127</v>
      </c>
    </row>
    <row r="28" spans="1:15" ht="18" customHeight="1" x14ac:dyDescent="0.35">
      <c r="A28" s="19">
        <v>13</v>
      </c>
      <c r="B28" s="20" t="s">
        <v>136</v>
      </c>
      <c r="C28" s="21"/>
      <c r="D28" s="21"/>
      <c r="E28" s="21" t="s">
        <v>80</v>
      </c>
      <c r="F28" s="19" t="s">
        <v>108</v>
      </c>
      <c r="G28" s="21" t="s">
        <v>109</v>
      </c>
      <c r="H28" s="19" t="s">
        <v>87</v>
      </c>
      <c r="I28" s="22">
        <v>604</v>
      </c>
      <c r="J28" s="22">
        <v>735</v>
      </c>
      <c r="K28" s="22">
        <v>861</v>
      </c>
      <c r="L28" s="20">
        <v>869.23</v>
      </c>
      <c r="M28" s="23" t="s">
        <v>62</v>
      </c>
      <c r="N28" s="24" t="s">
        <v>63</v>
      </c>
      <c r="O28" s="19" t="s">
        <v>117</v>
      </c>
    </row>
    <row r="29" spans="1:15" ht="18" customHeight="1" x14ac:dyDescent="0.35">
      <c r="A29" s="19">
        <v>14</v>
      </c>
      <c r="B29" s="20" t="s">
        <v>137</v>
      </c>
      <c r="C29" s="21"/>
      <c r="D29" s="21"/>
      <c r="E29" s="21" t="s">
        <v>138</v>
      </c>
      <c r="F29" s="19" t="s">
        <v>139</v>
      </c>
      <c r="G29" s="21" t="s">
        <v>140</v>
      </c>
      <c r="H29" s="19" t="s">
        <v>87</v>
      </c>
      <c r="I29" s="22">
        <v>604</v>
      </c>
      <c r="J29" s="22">
        <v>751</v>
      </c>
      <c r="K29" s="22">
        <v>872</v>
      </c>
      <c r="L29" s="20">
        <v>766.94</v>
      </c>
      <c r="M29" s="23" t="s">
        <v>7</v>
      </c>
      <c r="N29" s="24" t="s">
        <v>141</v>
      </c>
      <c r="O29" s="19" t="s">
        <v>142</v>
      </c>
    </row>
    <row r="30" spans="1:15" ht="18" customHeight="1" x14ac:dyDescent="0.35">
      <c r="A30" s="19">
        <v>15</v>
      </c>
      <c r="B30" s="20" t="s">
        <v>143</v>
      </c>
      <c r="C30" s="21"/>
      <c r="D30" s="21"/>
      <c r="E30" s="21" t="s">
        <v>107</v>
      </c>
      <c r="F30" s="19" t="s">
        <v>108</v>
      </c>
      <c r="G30" s="21" t="s">
        <v>109</v>
      </c>
      <c r="H30" s="19" t="s">
        <v>87</v>
      </c>
      <c r="I30" s="22">
        <v>604</v>
      </c>
      <c r="J30" s="22">
        <v>735</v>
      </c>
      <c r="K30" s="22">
        <v>861</v>
      </c>
      <c r="L30" s="20">
        <v>818.07</v>
      </c>
      <c r="M30" s="23" t="s">
        <v>7</v>
      </c>
      <c r="N30" s="24" t="s">
        <v>119</v>
      </c>
      <c r="O30" s="19" t="s">
        <v>127</v>
      </c>
    </row>
    <row r="31" spans="1:15" ht="18" customHeight="1" x14ac:dyDescent="0.35">
      <c r="A31" s="6">
        <v>16</v>
      </c>
      <c r="B31" s="29" t="s">
        <v>144</v>
      </c>
      <c r="C31" s="5"/>
      <c r="D31" s="5"/>
      <c r="E31" s="5" t="s">
        <v>111</v>
      </c>
      <c r="F31" s="6" t="s">
        <v>112</v>
      </c>
      <c r="G31" s="5" t="s">
        <v>113</v>
      </c>
      <c r="H31" s="6" t="s">
        <v>87</v>
      </c>
      <c r="I31" s="30">
        <v>804</v>
      </c>
      <c r="J31" s="30">
        <v>1036</v>
      </c>
      <c r="K31" s="30">
        <v>1208</v>
      </c>
      <c r="L31" s="29">
        <v>766.94</v>
      </c>
      <c r="M31" s="7" t="s">
        <v>145</v>
      </c>
      <c r="N31" s="31" t="s">
        <v>146</v>
      </c>
      <c r="O31" s="6" t="s">
        <v>105</v>
      </c>
    </row>
    <row r="32" spans="1:15" ht="18" customHeight="1" x14ac:dyDescent="0.35">
      <c r="A32" s="19">
        <v>17</v>
      </c>
      <c r="B32" s="20" t="s">
        <v>147</v>
      </c>
      <c r="C32" s="21"/>
      <c r="D32" s="21"/>
      <c r="E32" s="21" t="s">
        <v>107</v>
      </c>
      <c r="F32" s="19" t="s">
        <v>108</v>
      </c>
      <c r="G32" s="21" t="s">
        <v>109</v>
      </c>
      <c r="H32" s="19" t="s">
        <v>87</v>
      </c>
      <c r="I32" s="22">
        <v>604</v>
      </c>
      <c r="J32" s="22">
        <v>735</v>
      </c>
      <c r="K32" s="22">
        <v>861</v>
      </c>
      <c r="L32" s="20">
        <v>980.55</v>
      </c>
      <c r="M32" s="23" t="s">
        <v>62</v>
      </c>
      <c r="N32" s="24" t="s">
        <v>63</v>
      </c>
      <c r="O32" s="19" t="s">
        <v>105</v>
      </c>
    </row>
    <row r="33" spans="1:15" ht="18" customHeight="1" x14ac:dyDescent="0.35">
      <c r="A33" s="19">
        <v>18</v>
      </c>
      <c r="B33" s="20" t="s">
        <v>148</v>
      </c>
      <c r="C33" s="21"/>
      <c r="D33" s="21"/>
      <c r="E33" s="21" t="s">
        <v>107</v>
      </c>
      <c r="F33" s="19" t="s">
        <v>108</v>
      </c>
      <c r="G33" s="21" t="s">
        <v>109</v>
      </c>
      <c r="H33" s="19" t="s">
        <v>87</v>
      </c>
      <c r="I33" s="22">
        <v>604</v>
      </c>
      <c r="J33" s="22">
        <v>735</v>
      </c>
      <c r="K33" s="22">
        <v>861</v>
      </c>
      <c r="L33" s="20">
        <v>818.07</v>
      </c>
      <c r="M33" s="23" t="s">
        <v>7</v>
      </c>
      <c r="N33" s="24" t="s">
        <v>119</v>
      </c>
      <c r="O33" s="19" t="s">
        <v>105</v>
      </c>
    </row>
    <row r="34" spans="1:15" ht="18" customHeight="1" x14ac:dyDescent="0.35">
      <c r="A34" s="19">
        <v>19</v>
      </c>
      <c r="B34" s="20" t="s">
        <v>149</v>
      </c>
      <c r="C34" s="21"/>
      <c r="D34" s="21"/>
      <c r="E34" s="21" t="s">
        <v>107</v>
      </c>
      <c r="F34" s="19" t="s">
        <v>108</v>
      </c>
      <c r="G34" s="21" t="s">
        <v>109</v>
      </c>
      <c r="H34" s="19" t="s">
        <v>87</v>
      </c>
      <c r="I34" s="22">
        <v>604</v>
      </c>
      <c r="J34" s="22">
        <v>735</v>
      </c>
      <c r="K34" s="22">
        <v>861</v>
      </c>
      <c r="L34" s="20">
        <v>970.33</v>
      </c>
      <c r="M34" s="23" t="s">
        <v>62</v>
      </c>
      <c r="N34" s="24" t="s">
        <v>63</v>
      </c>
      <c r="O34" s="19" t="s">
        <v>105</v>
      </c>
    </row>
    <row r="35" spans="1:15" ht="18" customHeight="1" x14ac:dyDescent="0.35">
      <c r="A35" s="10">
        <v>1</v>
      </c>
      <c r="B35" s="25" t="s">
        <v>150</v>
      </c>
      <c r="C35" s="9"/>
      <c r="D35" s="9"/>
      <c r="E35" s="9" t="s">
        <v>151</v>
      </c>
      <c r="F35" s="10" t="s">
        <v>152</v>
      </c>
      <c r="G35" s="9" t="s">
        <v>13</v>
      </c>
      <c r="H35" s="10" t="s">
        <v>13</v>
      </c>
      <c r="I35" s="26"/>
      <c r="J35" s="26"/>
      <c r="K35" s="26"/>
      <c r="L35" s="25">
        <v>121.01</v>
      </c>
      <c r="M35" s="32" t="s">
        <v>13</v>
      </c>
      <c r="N35" s="33"/>
      <c r="O35" s="10" t="s">
        <v>105</v>
      </c>
    </row>
    <row r="36" spans="1:15" ht="18" customHeight="1" x14ac:dyDescent="0.35">
      <c r="A36" s="10">
        <v>2</v>
      </c>
      <c r="B36" s="25" t="s">
        <v>153</v>
      </c>
      <c r="C36" s="9"/>
      <c r="D36" s="9"/>
      <c r="E36" s="9" t="s">
        <v>151</v>
      </c>
      <c r="F36" s="10" t="s">
        <v>152</v>
      </c>
      <c r="G36" s="9" t="s">
        <v>13</v>
      </c>
      <c r="H36" s="10" t="s">
        <v>13</v>
      </c>
      <c r="I36" s="26"/>
      <c r="J36" s="26"/>
      <c r="K36" s="26"/>
      <c r="L36" s="25">
        <v>121.01</v>
      </c>
      <c r="M36" s="32" t="s">
        <v>13</v>
      </c>
      <c r="N36" s="33"/>
      <c r="O36" s="10" t="s">
        <v>122</v>
      </c>
    </row>
    <row r="37" spans="1:15" ht="18" customHeight="1" x14ac:dyDescent="0.35">
      <c r="A37" s="10">
        <v>3</v>
      </c>
      <c r="B37" s="25" t="s">
        <v>154</v>
      </c>
      <c r="C37" s="9"/>
      <c r="D37" s="9"/>
      <c r="E37" s="9" t="s">
        <v>151</v>
      </c>
      <c r="F37" s="10" t="s">
        <v>152</v>
      </c>
      <c r="G37" s="9" t="s">
        <v>13</v>
      </c>
      <c r="H37" s="10" t="s">
        <v>13</v>
      </c>
      <c r="I37" s="26"/>
      <c r="J37" s="26"/>
      <c r="K37" s="26"/>
      <c r="L37" s="25">
        <v>121.01</v>
      </c>
      <c r="M37" s="32" t="s">
        <v>13</v>
      </c>
      <c r="N37" s="33"/>
      <c r="O37" s="10" t="s">
        <v>122</v>
      </c>
    </row>
    <row r="38" spans="1:15" ht="18" customHeight="1" x14ac:dyDescent="0.35">
      <c r="A38" s="10">
        <v>4</v>
      </c>
      <c r="B38" s="25" t="s">
        <v>155</v>
      </c>
      <c r="C38" s="9"/>
      <c r="D38" s="9"/>
      <c r="E38" s="9" t="s">
        <v>151</v>
      </c>
      <c r="F38" s="10" t="s">
        <v>152</v>
      </c>
      <c r="G38" s="9" t="s">
        <v>13</v>
      </c>
      <c r="H38" s="10" t="s">
        <v>13</v>
      </c>
      <c r="I38" s="26"/>
      <c r="J38" s="26"/>
      <c r="K38" s="26"/>
      <c r="L38" s="25">
        <v>121.01</v>
      </c>
      <c r="M38" s="32" t="s">
        <v>13</v>
      </c>
      <c r="N38" s="33"/>
      <c r="O38" s="10" t="s">
        <v>105</v>
      </c>
    </row>
    <row r="39" spans="1:15" ht="18" customHeight="1" x14ac:dyDescent="0.35">
      <c r="A39" s="83" t="s">
        <v>156</v>
      </c>
      <c r="B39" s="83"/>
      <c r="C39" s="83"/>
      <c r="D39" s="83"/>
      <c r="E39" s="83"/>
      <c r="F39" s="83"/>
      <c r="G39" s="83"/>
      <c r="H39" s="83"/>
      <c r="I39" s="83"/>
      <c r="J39" s="83"/>
      <c r="K39" s="83"/>
      <c r="L39" s="83"/>
      <c r="M39" s="83"/>
      <c r="N39" s="83"/>
      <c r="O39" s="83"/>
    </row>
    <row r="40" spans="1:15" ht="18" customHeight="1" x14ac:dyDescent="0.35">
      <c r="A40" s="10">
        <v>1</v>
      </c>
      <c r="B40" s="25" t="s">
        <v>157</v>
      </c>
      <c r="C40" s="9"/>
      <c r="D40" s="9"/>
      <c r="E40" s="9" t="s">
        <v>158</v>
      </c>
      <c r="F40" s="10" t="s">
        <v>159</v>
      </c>
      <c r="G40" s="9" t="s">
        <v>160</v>
      </c>
      <c r="H40" s="10" t="s">
        <v>87</v>
      </c>
      <c r="I40" s="26">
        <v>766</v>
      </c>
      <c r="J40" s="26">
        <v>988</v>
      </c>
      <c r="K40" s="26">
        <v>1155</v>
      </c>
      <c r="L40" s="25">
        <v>971.45</v>
      </c>
      <c r="M40" s="27" t="s">
        <v>6</v>
      </c>
      <c r="N40" s="28" t="s">
        <v>161</v>
      </c>
      <c r="O40" s="10" t="s">
        <v>162</v>
      </c>
    </row>
    <row r="41" spans="1:15" ht="18" customHeight="1" x14ac:dyDescent="0.35">
      <c r="A41" s="10">
        <v>2</v>
      </c>
      <c r="B41" s="25" t="s">
        <v>163</v>
      </c>
      <c r="C41" s="9"/>
      <c r="D41" s="9"/>
      <c r="E41" s="9" t="s">
        <v>80</v>
      </c>
      <c r="F41" s="10" t="s">
        <v>164</v>
      </c>
      <c r="G41" s="9" t="s">
        <v>165</v>
      </c>
      <c r="H41" s="10" t="s">
        <v>87</v>
      </c>
      <c r="I41" s="26">
        <v>583</v>
      </c>
      <c r="J41" s="26">
        <v>983</v>
      </c>
      <c r="K41" s="26">
        <v>1155</v>
      </c>
      <c r="L41" s="25">
        <v>971.45</v>
      </c>
      <c r="M41" s="27" t="s">
        <v>6</v>
      </c>
      <c r="N41" s="28" t="s">
        <v>166</v>
      </c>
      <c r="O41" s="10" t="s">
        <v>162</v>
      </c>
    </row>
    <row r="42" spans="1:15" ht="18" customHeight="1" x14ac:dyDescent="0.35">
      <c r="A42" s="19">
        <v>3</v>
      </c>
      <c r="B42" s="20" t="s">
        <v>167</v>
      </c>
      <c r="C42" s="21"/>
      <c r="D42" s="21"/>
      <c r="E42" s="21" t="s">
        <v>111</v>
      </c>
      <c r="F42" s="19" t="s">
        <v>112</v>
      </c>
      <c r="G42" s="21" t="s">
        <v>113</v>
      </c>
      <c r="H42" s="19" t="s">
        <v>87</v>
      </c>
      <c r="I42" s="22">
        <v>804</v>
      </c>
      <c r="J42" s="22">
        <v>1036</v>
      </c>
      <c r="K42" s="22">
        <v>1208</v>
      </c>
      <c r="L42" s="20">
        <v>1636.13</v>
      </c>
      <c r="M42" s="23" t="s">
        <v>62</v>
      </c>
      <c r="N42" s="24" t="s">
        <v>63</v>
      </c>
      <c r="O42" s="19" t="s">
        <v>168</v>
      </c>
    </row>
    <row r="43" spans="1:15" ht="18" customHeight="1" x14ac:dyDescent="0.35">
      <c r="A43" s="19">
        <v>4</v>
      </c>
      <c r="B43" s="20" t="s">
        <v>169</v>
      </c>
      <c r="C43" s="21"/>
      <c r="D43" s="21"/>
      <c r="E43" s="21" t="s">
        <v>170</v>
      </c>
      <c r="F43" s="19" t="s">
        <v>164</v>
      </c>
      <c r="G43" s="21" t="s">
        <v>165</v>
      </c>
      <c r="H43" s="19" t="s">
        <v>87</v>
      </c>
      <c r="I43" s="22">
        <v>583</v>
      </c>
      <c r="J43" s="22">
        <v>983</v>
      </c>
      <c r="K43" s="22">
        <v>1155</v>
      </c>
      <c r="L43" s="20">
        <v>1227.0999999999999</v>
      </c>
      <c r="M43" s="23" t="s">
        <v>62</v>
      </c>
      <c r="N43" s="24" t="s">
        <v>63</v>
      </c>
      <c r="O43" s="19" t="s">
        <v>168</v>
      </c>
    </row>
    <row r="44" spans="1:15" ht="18" customHeight="1" x14ac:dyDescent="0.35">
      <c r="A44" s="10">
        <v>5</v>
      </c>
      <c r="B44" s="25" t="s">
        <v>171</v>
      </c>
      <c r="C44" s="9"/>
      <c r="D44" s="9"/>
      <c r="E44" s="9" t="s">
        <v>170</v>
      </c>
      <c r="F44" s="10" t="s">
        <v>164</v>
      </c>
      <c r="G44" s="9" t="s">
        <v>165</v>
      </c>
      <c r="H44" s="10" t="s">
        <v>87</v>
      </c>
      <c r="I44" s="26">
        <v>583</v>
      </c>
      <c r="J44" s="26">
        <v>983</v>
      </c>
      <c r="K44" s="26">
        <v>1155</v>
      </c>
      <c r="L44" s="25">
        <v>894.76</v>
      </c>
      <c r="M44" s="27" t="s">
        <v>6</v>
      </c>
      <c r="N44" s="28" t="s">
        <v>172</v>
      </c>
      <c r="O44" s="10" t="s">
        <v>173</v>
      </c>
    </row>
    <row r="45" spans="1:15" ht="18" customHeight="1" x14ac:dyDescent="0.35">
      <c r="A45" s="19">
        <v>6</v>
      </c>
      <c r="B45" s="20" t="s">
        <v>174</v>
      </c>
      <c r="C45" s="21"/>
      <c r="D45" s="21"/>
      <c r="E45" s="21" t="s">
        <v>175</v>
      </c>
      <c r="F45" s="19" t="s">
        <v>176</v>
      </c>
      <c r="G45" s="21" t="s">
        <v>177</v>
      </c>
      <c r="H45" s="19" t="s">
        <v>87</v>
      </c>
      <c r="I45" s="22">
        <v>583</v>
      </c>
      <c r="J45" s="22">
        <v>752</v>
      </c>
      <c r="K45" s="22">
        <v>945</v>
      </c>
      <c r="L45" s="20">
        <v>1380.49</v>
      </c>
      <c r="M45" s="23" t="s">
        <v>62</v>
      </c>
      <c r="N45" s="24" t="s">
        <v>63</v>
      </c>
      <c r="O45" s="19" t="s">
        <v>162</v>
      </c>
    </row>
    <row r="46" spans="1:15" ht="18" customHeight="1" x14ac:dyDescent="0.35">
      <c r="A46" s="19">
        <v>7</v>
      </c>
      <c r="B46" s="20" t="s">
        <v>178</v>
      </c>
      <c r="C46" s="21"/>
      <c r="D46" s="21"/>
      <c r="E46" s="21" t="s">
        <v>111</v>
      </c>
      <c r="F46" s="19" t="s">
        <v>112</v>
      </c>
      <c r="G46" s="21" t="s">
        <v>113</v>
      </c>
      <c r="H46" s="19" t="s">
        <v>87</v>
      </c>
      <c r="I46" s="22">
        <v>804</v>
      </c>
      <c r="J46" s="22">
        <v>1036</v>
      </c>
      <c r="K46" s="22">
        <v>1208</v>
      </c>
      <c r="L46" s="20">
        <v>1175.97</v>
      </c>
      <c r="M46" s="23" t="s">
        <v>7</v>
      </c>
      <c r="N46" s="24" t="s">
        <v>179</v>
      </c>
      <c r="O46" s="19" t="s">
        <v>168</v>
      </c>
    </row>
    <row r="47" spans="1:15" ht="18" customHeight="1" x14ac:dyDescent="0.35">
      <c r="A47" s="19">
        <v>8</v>
      </c>
      <c r="B47" s="20" t="s">
        <v>180</v>
      </c>
      <c r="C47" s="21"/>
      <c r="D47" s="21"/>
      <c r="E47" s="21" t="s">
        <v>111</v>
      </c>
      <c r="F47" s="19" t="s">
        <v>112</v>
      </c>
      <c r="G47" s="21" t="s">
        <v>113</v>
      </c>
      <c r="H47" s="19" t="s">
        <v>87</v>
      </c>
      <c r="I47" s="22">
        <v>804</v>
      </c>
      <c r="J47" s="22">
        <v>1036</v>
      </c>
      <c r="K47" s="22">
        <v>1208</v>
      </c>
      <c r="L47" s="20">
        <v>1211.76</v>
      </c>
      <c r="M47" s="23" t="s">
        <v>62</v>
      </c>
      <c r="N47" s="24" t="s">
        <v>63</v>
      </c>
      <c r="O47" s="19" t="s">
        <v>168</v>
      </c>
    </row>
    <row r="48" spans="1:15" ht="18" customHeight="1" x14ac:dyDescent="0.35">
      <c r="A48" s="10">
        <v>9</v>
      </c>
      <c r="B48" s="25" t="s">
        <v>181</v>
      </c>
      <c r="C48" s="9"/>
      <c r="D48" s="9"/>
      <c r="E48" s="9" t="s">
        <v>170</v>
      </c>
      <c r="F48" s="10" t="s">
        <v>164</v>
      </c>
      <c r="G48" s="9" t="s">
        <v>165</v>
      </c>
      <c r="H48" s="10" t="s">
        <v>87</v>
      </c>
      <c r="I48" s="26">
        <v>583</v>
      </c>
      <c r="J48" s="26">
        <v>983</v>
      </c>
      <c r="K48" s="26">
        <v>1155</v>
      </c>
      <c r="L48" s="25">
        <v>894.76</v>
      </c>
      <c r="M48" s="27" t="s">
        <v>6</v>
      </c>
      <c r="N48" s="28" t="s">
        <v>172</v>
      </c>
      <c r="O48" s="10" t="s">
        <v>173</v>
      </c>
    </row>
    <row r="49" spans="1:15" ht="18" customHeight="1" x14ac:dyDescent="0.35">
      <c r="A49" s="19">
        <v>10</v>
      </c>
      <c r="B49" s="20" t="s">
        <v>182</v>
      </c>
      <c r="C49" s="21"/>
      <c r="D49" s="21"/>
      <c r="E49" s="21" t="s">
        <v>183</v>
      </c>
      <c r="F49" s="19" t="s">
        <v>184</v>
      </c>
      <c r="G49" s="21" t="s">
        <v>185</v>
      </c>
      <c r="H49" s="19" t="s">
        <v>186</v>
      </c>
      <c r="I49" s="22">
        <v>1071</v>
      </c>
      <c r="J49" s="22">
        <v>1380</v>
      </c>
      <c r="K49" s="22">
        <v>1600</v>
      </c>
      <c r="L49" s="20">
        <v>1431.62</v>
      </c>
      <c r="M49" s="23" t="s">
        <v>7</v>
      </c>
      <c r="N49" s="24" t="s">
        <v>166</v>
      </c>
      <c r="O49" s="19" t="s">
        <v>187</v>
      </c>
    </row>
    <row r="50" spans="1:15" ht="18" customHeight="1" x14ac:dyDescent="0.35">
      <c r="A50" s="19">
        <v>11</v>
      </c>
      <c r="B50" s="20" t="s">
        <v>188</v>
      </c>
      <c r="C50" s="21"/>
      <c r="D50" s="21"/>
      <c r="E50" s="21" t="s">
        <v>189</v>
      </c>
      <c r="F50" s="19" t="s">
        <v>190</v>
      </c>
      <c r="G50" s="21" t="s">
        <v>191</v>
      </c>
      <c r="H50" s="19" t="s">
        <v>87</v>
      </c>
      <c r="I50" s="22">
        <v>746</v>
      </c>
      <c r="J50" s="22">
        <v>989</v>
      </c>
      <c r="K50" s="22">
        <v>1825</v>
      </c>
      <c r="L50" s="20">
        <v>1431.62</v>
      </c>
      <c r="M50" s="23" t="s">
        <v>7</v>
      </c>
      <c r="N50" s="24" t="s">
        <v>192</v>
      </c>
      <c r="O50" s="19" t="s">
        <v>187</v>
      </c>
    </row>
    <row r="51" spans="1:15" ht="18" customHeight="1" x14ac:dyDescent="0.35">
      <c r="A51" s="10">
        <v>12</v>
      </c>
      <c r="B51" s="25" t="s">
        <v>193</v>
      </c>
      <c r="C51" s="9"/>
      <c r="D51" s="9"/>
      <c r="E51" s="9" t="s">
        <v>80</v>
      </c>
      <c r="F51" s="10" t="s">
        <v>164</v>
      </c>
      <c r="G51" s="9" t="s">
        <v>165</v>
      </c>
      <c r="H51" s="10" t="s">
        <v>87</v>
      </c>
      <c r="I51" s="26">
        <v>583</v>
      </c>
      <c r="J51" s="26">
        <v>983</v>
      </c>
      <c r="K51" s="26">
        <v>1155</v>
      </c>
      <c r="L51" s="25">
        <v>920.33</v>
      </c>
      <c r="M51" s="27" t="s">
        <v>6</v>
      </c>
      <c r="N51" s="28" t="s">
        <v>194</v>
      </c>
      <c r="O51" s="10" t="s">
        <v>162</v>
      </c>
    </row>
    <row r="52" spans="1:15" ht="18" customHeight="1" x14ac:dyDescent="0.35">
      <c r="A52" s="19">
        <v>13</v>
      </c>
      <c r="B52" s="20" t="s">
        <v>195</v>
      </c>
      <c r="C52" s="21"/>
      <c r="D52" s="21"/>
      <c r="E52" s="21" t="s">
        <v>111</v>
      </c>
      <c r="F52" s="19" t="s">
        <v>112</v>
      </c>
      <c r="G52" s="21" t="s">
        <v>113</v>
      </c>
      <c r="H52" s="19" t="s">
        <v>87</v>
      </c>
      <c r="I52" s="22">
        <v>804</v>
      </c>
      <c r="J52" s="22">
        <v>1036</v>
      </c>
      <c r="K52" s="22">
        <v>1208</v>
      </c>
      <c r="L52" s="20">
        <v>1738.39</v>
      </c>
      <c r="M52" s="23" t="s">
        <v>62</v>
      </c>
      <c r="N52" s="24" t="s">
        <v>63</v>
      </c>
      <c r="O52" s="19" t="s">
        <v>168</v>
      </c>
    </row>
    <row r="53" spans="1:15" ht="18" customHeight="1" x14ac:dyDescent="0.35">
      <c r="A53" s="79" t="s">
        <v>196</v>
      </c>
      <c r="B53" s="79"/>
      <c r="C53" s="79"/>
      <c r="D53" s="79"/>
      <c r="E53" s="79"/>
      <c r="F53" s="79"/>
      <c r="G53" s="79"/>
      <c r="H53" s="79"/>
      <c r="I53" s="79"/>
      <c r="J53" s="79"/>
      <c r="K53" s="79"/>
      <c r="L53" s="79"/>
      <c r="M53" s="79"/>
      <c r="N53" s="79"/>
      <c r="O53" s="79"/>
    </row>
    <row r="54" spans="1:15" ht="18" customHeight="1" x14ac:dyDescent="0.35">
      <c r="A54" s="19">
        <v>1</v>
      </c>
      <c r="B54" s="20" t="s">
        <v>197</v>
      </c>
      <c r="C54" s="21"/>
      <c r="D54" s="21"/>
      <c r="E54" s="21" t="s">
        <v>198</v>
      </c>
      <c r="F54" s="19" t="s">
        <v>199</v>
      </c>
      <c r="G54" s="21" t="s">
        <v>200</v>
      </c>
      <c r="H54" s="19" t="s">
        <v>186</v>
      </c>
      <c r="I54" s="22">
        <v>736</v>
      </c>
      <c r="J54" s="22">
        <v>948</v>
      </c>
      <c r="K54" s="22">
        <v>1500</v>
      </c>
      <c r="L54" s="20">
        <v>1380.49</v>
      </c>
      <c r="M54" s="23" t="s">
        <v>7</v>
      </c>
      <c r="N54" s="24" t="s">
        <v>201</v>
      </c>
      <c r="O54" s="19" t="s">
        <v>202</v>
      </c>
    </row>
    <row r="55" spans="1:15" ht="18" customHeight="1" x14ac:dyDescent="0.35">
      <c r="A55" s="19">
        <v>2</v>
      </c>
      <c r="B55" s="20" t="s">
        <v>203</v>
      </c>
      <c r="C55" s="21"/>
      <c r="D55" s="21"/>
      <c r="E55" s="21" t="s">
        <v>204</v>
      </c>
      <c r="F55" s="19" t="s">
        <v>205</v>
      </c>
      <c r="G55" s="21" t="s">
        <v>206</v>
      </c>
      <c r="H55" s="19" t="s">
        <v>186</v>
      </c>
      <c r="I55" s="22">
        <v>797</v>
      </c>
      <c r="J55" s="22">
        <v>1028</v>
      </c>
      <c r="K55" s="22">
        <v>1350</v>
      </c>
      <c r="L55" s="20">
        <v>1063.49</v>
      </c>
      <c r="M55" s="23" t="s">
        <v>7</v>
      </c>
      <c r="N55" s="24" t="s">
        <v>207</v>
      </c>
      <c r="O55" s="19" t="s">
        <v>208</v>
      </c>
    </row>
    <row r="56" spans="1:15" ht="18" customHeight="1" x14ac:dyDescent="0.35">
      <c r="A56" s="19">
        <v>3</v>
      </c>
      <c r="B56" s="20" t="s">
        <v>13</v>
      </c>
      <c r="C56" s="21"/>
      <c r="D56" s="21"/>
      <c r="E56" s="21" t="s">
        <v>209</v>
      </c>
      <c r="F56" s="19" t="s">
        <v>210</v>
      </c>
      <c r="G56" s="21" t="s">
        <v>211</v>
      </c>
      <c r="H56" s="19" t="s">
        <v>186</v>
      </c>
      <c r="I56" s="22">
        <v>536</v>
      </c>
      <c r="J56" s="22">
        <v>650</v>
      </c>
      <c r="K56" s="22">
        <v>750</v>
      </c>
      <c r="L56" s="20">
        <v>770.26</v>
      </c>
      <c r="M56" s="23" t="s">
        <v>62</v>
      </c>
      <c r="N56" s="24" t="s">
        <v>63</v>
      </c>
      <c r="O56" s="19" t="s">
        <v>13</v>
      </c>
    </row>
    <row r="57" spans="1:15" ht="18" customHeight="1" x14ac:dyDescent="0.35">
      <c r="A57" s="19">
        <v>4</v>
      </c>
      <c r="B57" s="20" t="s">
        <v>212</v>
      </c>
      <c r="C57" s="21"/>
      <c r="D57" s="21"/>
      <c r="E57" s="21" t="s">
        <v>209</v>
      </c>
      <c r="F57" s="19" t="s">
        <v>210</v>
      </c>
      <c r="G57" s="21" t="s">
        <v>211</v>
      </c>
      <c r="H57" s="19" t="s">
        <v>186</v>
      </c>
      <c r="I57" s="22">
        <v>536</v>
      </c>
      <c r="J57" s="22">
        <v>650</v>
      </c>
      <c r="K57" s="22">
        <v>750</v>
      </c>
      <c r="L57" s="20">
        <v>870.2</v>
      </c>
      <c r="M57" s="23" t="s">
        <v>62</v>
      </c>
      <c r="N57" s="24" t="s">
        <v>63</v>
      </c>
      <c r="O57" s="19" t="s">
        <v>213</v>
      </c>
    </row>
    <row r="58" spans="1:15" ht="18" customHeight="1" x14ac:dyDescent="0.35">
      <c r="A58" s="19">
        <v>5</v>
      </c>
      <c r="B58" s="20" t="s">
        <v>214</v>
      </c>
      <c r="C58" s="21"/>
      <c r="D58" s="21"/>
      <c r="E58" s="21" t="s">
        <v>209</v>
      </c>
      <c r="F58" s="19" t="s">
        <v>210</v>
      </c>
      <c r="G58" s="21" t="s">
        <v>211</v>
      </c>
      <c r="H58" s="19" t="s">
        <v>186</v>
      </c>
      <c r="I58" s="22">
        <v>536</v>
      </c>
      <c r="J58" s="22">
        <v>650</v>
      </c>
      <c r="K58" s="22">
        <v>750</v>
      </c>
      <c r="L58" s="20">
        <v>818.44</v>
      </c>
      <c r="M58" s="23" t="s">
        <v>62</v>
      </c>
      <c r="N58" s="24" t="s">
        <v>63</v>
      </c>
      <c r="O58" s="19" t="s">
        <v>213</v>
      </c>
    </row>
    <row r="59" spans="1:15" ht="18" customHeight="1" x14ac:dyDescent="0.35">
      <c r="A59" s="19">
        <v>6</v>
      </c>
      <c r="B59" s="20" t="s">
        <v>215</v>
      </c>
      <c r="C59" s="21"/>
      <c r="D59" s="21"/>
      <c r="E59" s="21" t="s">
        <v>209</v>
      </c>
      <c r="F59" s="19" t="s">
        <v>210</v>
      </c>
      <c r="G59" s="21" t="s">
        <v>211</v>
      </c>
      <c r="H59" s="19" t="s">
        <v>186</v>
      </c>
      <c r="I59" s="22">
        <v>536</v>
      </c>
      <c r="J59" s="22">
        <v>650</v>
      </c>
      <c r="K59" s="22">
        <v>750</v>
      </c>
      <c r="L59" s="20">
        <v>920.33</v>
      </c>
      <c r="M59" s="23" t="s">
        <v>62</v>
      </c>
      <c r="N59" s="24" t="s">
        <v>63</v>
      </c>
      <c r="O59" s="19" t="s">
        <v>213</v>
      </c>
    </row>
    <row r="60" spans="1:15" ht="18" customHeight="1" x14ac:dyDescent="0.35">
      <c r="A60" s="19">
        <v>7</v>
      </c>
      <c r="B60" s="20" t="s">
        <v>216</v>
      </c>
      <c r="C60" s="21"/>
      <c r="D60" s="21"/>
      <c r="E60" s="21" t="s">
        <v>209</v>
      </c>
      <c r="F60" s="19" t="s">
        <v>210</v>
      </c>
      <c r="G60" s="21" t="s">
        <v>211</v>
      </c>
      <c r="H60" s="19" t="s">
        <v>186</v>
      </c>
      <c r="I60" s="22">
        <v>536</v>
      </c>
      <c r="J60" s="22">
        <v>650</v>
      </c>
      <c r="K60" s="22">
        <v>750</v>
      </c>
      <c r="L60" s="20">
        <v>818.07</v>
      </c>
      <c r="M60" s="23" t="s">
        <v>62</v>
      </c>
      <c r="N60" s="24" t="s">
        <v>63</v>
      </c>
      <c r="O60" s="19" t="s">
        <v>213</v>
      </c>
    </row>
    <row r="61" spans="1:15" ht="18" customHeight="1" x14ac:dyDescent="0.35">
      <c r="A61" s="19">
        <v>8</v>
      </c>
      <c r="B61" s="20" t="s">
        <v>217</v>
      </c>
      <c r="C61" s="21"/>
      <c r="D61" s="21"/>
      <c r="E61" s="21" t="s">
        <v>209</v>
      </c>
      <c r="F61" s="19" t="s">
        <v>210</v>
      </c>
      <c r="G61" s="21" t="s">
        <v>211</v>
      </c>
      <c r="H61" s="19" t="s">
        <v>186</v>
      </c>
      <c r="I61" s="22">
        <v>536</v>
      </c>
      <c r="J61" s="22">
        <v>650</v>
      </c>
      <c r="K61" s="22">
        <v>750</v>
      </c>
      <c r="L61" s="20">
        <v>869.2</v>
      </c>
      <c r="M61" s="23" t="s">
        <v>62</v>
      </c>
      <c r="N61" s="24" t="s">
        <v>63</v>
      </c>
      <c r="O61" s="19" t="s">
        <v>213</v>
      </c>
    </row>
    <row r="62" spans="1:15" ht="18" customHeight="1" x14ac:dyDescent="0.35">
      <c r="A62" s="19">
        <v>9</v>
      </c>
      <c r="B62" s="20" t="s">
        <v>218</v>
      </c>
      <c r="C62" s="21"/>
      <c r="D62" s="21"/>
      <c r="E62" s="21" t="s">
        <v>209</v>
      </c>
      <c r="F62" s="19" t="s">
        <v>210</v>
      </c>
      <c r="G62" s="21" t="s">
        <v>211</v>
      </c>
      <c r="H62" s="19" t="s">
        <v>186</v>
      </c>
      <c r="I62" s="22">
        <v>536</v>
      </c>
      <c r="J62" s="22">
        <v>650</v>
      </c>
      <c r="K62" s="22">
        <v>750</v>
      </c>
      <c r="L62" s="20">
        <v>818.07</v>
      </c>
      <c r="M62" s="23" t="s">
        <v>62</v>
      </c>
      <c r="N62" s="24" t="s">
        <v>63</v>
      </c>
      <c r="O62" s="19" t="s">
        <v>213</v>
      </c>
    </row>
    <row r="63" spans="1:15" ht="18" customHeight="1" x14ac:dyDescent="0.35">
      <c r="A63" s="19">
        <v>10</v>
      </c>
      <c r="B63" s="20" t="s">
        <v>219</v>
      </c>
      <c r="C63" s="21"/>
      <c r="D63" s="21"/>
      <c r="E63" s="21" t="s">
        <v>220</v>
      </c>
      <c r="F63" s="19" t="s">
        <v>221</v>
      </c>
      <c r="G63" s="21" t="s">
        <v>222</v>
      </c>
      <c r="H63" s="19" t="s">
        <v>186</v>
      </c>
      <c r="I63" s="22">
        <v>496</v>
      </c>
      <c r="J63" s="22">
        <v>600</v>
      </c>
      <c r="K63" s="22">
        <v>700</v>
      </c>
      <c r="L63" s="20">
        <v>843.63</v>
      </c>
      <c r="M63" s="23" t="s">
        <v>62</v>
      </c>
      <c r="N63" s="24" t="s">
        <v>63</v>
      </c>
      <c r="O63" s="19" t="s">
        <v>223</v>
      </c>
    </row>
    <row r="64" spans="1:15" ht="18" customHeight="1" x14ac:dyDescent="0.35">
      <c r="A64" s="6">
        <v>11</v>
      </c>
      <c r="B64" s="29" t="s">
        <v>224</v>
      </c>
      <c r="C64" s="5"/>
      <c r="D64" s="5"/>
      <c r="E64" s="5" t="s">
        <v>225</v>
      </c>
      <c r="F64" s="6" t="s">
        <v>226</v>
      </c>
      <c r="G64" s="5" t="s">
        <v>227</v>
      </c>
      <c r="H64" s="6" t="s">
        <v>186</v>
      </c>
      <c r="I64" s="30">
        <v>496</v>
      </c>
      <c r="J64" s="30">
        <v>496</v>
      </c>
      <c r="K64" s="30">
        <v>560</v>
      </c>
      <c r="L64" s="29">
        <v>495.94</v>
      </c>
      <c r="M64" s="7" t="s">
        <v>145</v>
      </c>
      <c r="N64" s="31" t="s">
        <v>146</v>
      </c>
      <c r="O64" s="6" t="s">
        <v>228</v>
      </c>
    </row>
    <row r="65" spans="1:15" ht="18" customHeight="1" x14ac:dyDescent="0.35">
      <c r="A65" s="19">
        <v>12</v>
      </c>
      <c r="B65" s="20" t="s">
        <v>229</v>
      </c>
      <c r="C65" s="21"/>
      <c r="D65" s="21"/>
      <c r="E65" s="21" t="s">
        <v>225</v>
      </c>
      <c r="F65" s="19" t="s">
        <v>226</v>
      </c>
      <c r="G65" s="21" t="s">
        <v>227</v>
      </c>
      <c r="H65" s="19" t="s">
        <v>186</v>
      </c>
      <c r="I65" s="22">
        <v>496</v>
      </c>
      <c r="J65" s="22">
        <v>496</v>
      </c>
      <c r="K65" s="22">
        <v>560</v>
      </c>
      <c r="L65" s="20">
        <v>598.20000000000005</v>
      </c>
      <c r="M65" s="23" t="s">
        <v>62</v>
      </c>
      <c r="N65" s="24" t="s">
        <v>63</v>
      </c>
      <c r="O65" s="19" t="s">
        <v>228</v>
      </c>
    </row>
    <row r="66" spans="1:15" ht="18" customHeight="1" x14ac:dyDescent="0.35">
      <c r="A66" s="19">
        <v>13</v>
      </c>
      <c r="B66" s="20" t="s">
        <v>230</v>
      </c>
      <c r="C66" s="21"/>
      <c r="D66" s="21"/>
      <c r="E66" s="21" t="s">
        <v>225</v>
      </c>
      <c r="F66" s="19" t="s">
        <v>226</v>
      </c>
      <c r="G66" s="21" t="s">
        <v>227</v>
      </c>
      <c r="H66" s="19" t="s">
        <v>186</v>
      </c>
      <c r="I66" s="22">
        <v>496</v>
      </c>
      <c r="J66" s="22">
        <v>496</v>
      </c>
      <c r="K66" s="22">
        <v>560</v>
      </c>
      <c r="L66" s="20">
        <v>598.20000000000005</v>
      </c>
      <c r="M66" s="23" t="s">
        <v>62</v>
      </c>
      <c r="N66" s="24" t="s">
        <v>63</v>
      </c>
      <c r="O66" s="19" t="s">
        <v>231</v>
      </c>
    </row>
    <row r="67" spans="1:15" ht="18" customHeight="1" x14ac:dyDescent="0.35">
      <c r="A67" s="19">
        <v>14</v>
      </c>
      <c r="B67" s="20" t="s">
        <v>232</v>
      </c>
      <c r="C67" s="21"/>
      <c r="D67" s="21"/>
      <c r="E67" s="21" t="s">
        <v>225</v>
      </c>
      <c r="F67" s="19" t="s">
        <v>221</v>
      </c>
      <c r="G67" s="21" t="s">
        <v>222</v>
      </c>
      <c r="H67" s="19" t="s">
        <v>186</v>
      </c>
      <c r="I67" s="22">
        <v>496</v>
      </c>
      <c r="J67" s="22">
        <v>600</v>
      </c>
      <c r="K67" s="22">
        <v>700</v>
      </c>
      <c r="L67" s="20">
        <v>678.44</v>
      </c>
      <c r="M67" s="23" t="s">
        <v>7</v>
      </c>
      <c r="N67" s="24" t="s">
        <v>233</v>
      </c>
      <c r="O67" s="19" t="s">
        <v>231</v>
      </c>
    </row>
    <row r="68" spans="1:15" ht="18" customHeight="1" x14ac:dyDescent="0.35">
      <c r="A68" s="19">
        <v>15</v>
      </c>
      <c r="B68" s="20" t="s">
        <v>234</v>
      </c>
      <c r="C68" s="21"/>
      <c r="D68" s="21"/>
      <c r="E68" s="21" t="s">
        <v>225</v>
      </c>
      <c r="F68" s="19" t="s">
        <v>221</v>
      </c>
      <c r="G68" s="21" t="s">
        <v>222</v>
      </c>
      <c r="H68" s="19" t="s">
        <v>186</v>
      </c>
      <c r="I68" s="22">
        <v>496</v>
      </c>
      <c r="J68" s="22">
        <v>600</v>
      </c>
      <c r="K68" s="22">
        <v>700</v>
      </c>
      <c r="L68" s="20">
        <v>664.68</v>
      </c>
      <c r="M68" s="23" t="s">
        <v>7</v>
      </c>
      <c r="N68" s="24" t="s">
        <v>119</v>
      </c>
      <c r="O68" s="19" t="s">
        <v>228</v>
      </c>
    </row>
    <row r="69" spans="1:15" ht="18" customHeight="1" x14ac:dyDescent="0.35">
      <c r="A69" s="19">
        <v>16</v>
      </c>
      <c r="B69" s="20" t="s">
        <v>235</v>
      </c>
      <c r="C69" s="21"/>
      <c r="D69" s="21"/>
      <c r="E69" s="21" t="s">
        <v>225</v>
      </c>
      <c r="F69" s="19" t="s">
        <v>221</v>
      </c>
      <c r="G69" s="21" t="s">
        <v>222</v>
      </c>
      <c r="H69" s="19" t="s">
        <v>186</v>
      </c>
      <c r="I69" s="22">
        <v>496</v>
      </c>
      <c r="J69" s="22">
        <v>600</v>
      </c>
      <c r="K69" s="22">
        <v>700</v>
      </c>
      <c r="L69" s="20">
        <v>664.68</v>
      </c>
      <c r="M69" s="23" t="s">
        <v>7</v>
      </c>
      <c r="N69" s="24" t="s">
        <v>119</v>
      </c>
      <c r="O69" s="19" t="s">
        <v>228</v>
      </c>
    </row>
    <row r="70" spans="1:15" ht="18" customHeight="1" x14ac:dyDescent="0.35">
      <c r="A70" s="10">
        <v>17</v>
      </c>
      <c r="B70" s="25" t="s">
        <v>236</v>
      </c>
      <c r="C70" s="9"/>
      <c r="D70" s="9"/>
      <c r="E70" s="9" t="s">
        <v>225</v>
      </c>
      <c r="F70" s="10" t="s">
        <v>221</v>
      </c>
      <c r="G70" s="9" t="s">
        <v>222</v>
      </c>
      <c r="H70" s="10" t="s">
        <v>186</v>
      </c>
      <c r="I70" s="26">
        <v>496</v>
      </c>
      <c r="J70" s="26">
        <v>600</v>
      </c>
      <c r="K70" s="26">
        <v>700</v>
      </c>
      <c r="L70" s="25">
        <v>562.41999999999996</v>
      </c>
      <c r="M70" s="27" t="s">
        <v>6</v>
      </c>
      <c r="N70" s="28" t="s">
        <v>237</v>
      </c>
      <c r="O70" s="10" t="s">
        <v>231</v>
      </c>
    </row>
    <row r="71" spans="1:15" ht="18" customHeight="1" x14ac:dyDescent="0.35">
      <c r="A71" s="19">
        <v>18</v>
      </c>
      <c r="B71" s="20" t="s">
        <v>238</v>
      </c>
      <c r="C71" s="21"/>
      <c r="D71" s="21"/>
      <c r="E71" s="21" t="s">
        <v>225</v>
      </c>
      <c r="F71" s="19" t="s">
        <v>221</v>
      </c>
      <c r="G71" s="21" t="s">
        <v>222</v>
      </c>
      <c r="H71" s="19" t="s">
        <v>186</v>
      </c>
      <c r="I71" s="22">
        <v>496</v>
      </c>
      <c r="J71" s="22">
        <v>600</v>
      </c>
      <c r="K71" s="22">
        <v>700</v>
      </c>
      <c r="L71" s="20">
        <v>665.26</v>
      </c>
      <c r="M71" s="23" t="s">
        <v>7</v>
      </c>
      <c r="N71" s="24" t="s">
        <v>119</v>
      </c>
      <c r="O71" s="19" t="s">
        <v>239</v>
      </c>
    </row>
    <row r="72" spans="1:15" ht="18" customHeight="1" x14ac:dyDescent="0.35">
      <c r="A72" s="19">
        <v>19</v>
      </c>
      <c r="B72" s="20" t="s">
        <v>240</v>
      </c>
      <c r="C72" s="21"/>
      <c r="D72" s="21"/>
      <c r="E72" s="21" t="s">
        <v>225</v>
      </c>
      <c r="F72" s="19" t="s">
        <v>221</v>
      </c>
      <c r="G72" s="21" t="s">
        <v>222</v>
      </c>
      <c r="H72" s="19" t="s">
        <v>186</v>
      </c>
      <c r="I72" s="22">
        <v>496</v>
      </c>
      <c r="J72" s="22">
        <v>600</v>
      </c>
      <c r="K72" s="22">
        <v>700</v>
      </c>
      <c r="L72" s="20">
        <v>664.68</v>
      </c>
      <c r="M72" s="23" t="s">
        <v>7</v>
      </c>
      <c r="N72" s="24" t="s">
        <v>119</v>
      </c>
      <c r="O72" s="19" t="s">
        <v>231</v>
      </c>
    </row>
    <row r="73" spans="1:15" ht="18" customHeight="1" x14ac:dyDescent="0.35">
      <c r="A73" s="19">
        <v>20</v>
      </c>
      <c r="B73" s="20" t="s">
        <v>241</v>
      </c>
      <c r="C73" s="21"/>
      <c r="D73" s="21"/>
      <c r="E73" s="21" t="s">
        <v>225</v>
      </c>
      <c r="F73" s="19" t="s">
        <v>221</v>
      </c>
      <c r="G73" s="21" t="s">
        <v>222</v>
      </c>
      <c r="H73" s="19" t="s">
        <v>186</v>
      </c>
      <c r="I73" s="22">
        <v>496</v>
      </c>
      <c r="J73" s="22">
        <v>600</v>
      </c>
      <c r="K73" s="22">
        <v>700</v>
      </c>
      <c r="L73" s="20">
        <v>664.68</v>
      </c>
      <c r="M73" s="23" t="s">
        <v>7</v>
      </c>
      <c r="N73" s="24" t="s">
        <v>119</v>
      </c>
      <c r="O73" s="19" t="s">
        <v>231</v>
      </c>
    </row>
    <row r="74" spans="1:15" ht="18" customHeight="1" x14ac:dyDescent="0.35">
      <c r="A74" s="19">
        <v>21</v>
      </c>
      <c r="B74" s="20" t="s">
        <v>242</v>
      </c>
      <c r="C74" s="21"/>
      <c r="D74" s="21"/>
      <c r="E74" s="21" t="s">
        <v>225</v>
      </c>
      <c r="F74" s="19" t="s">
        <v>221</v>
      </c>
      <c r="G74" s="21" t="s">
        <v>222</v>
      </c>
      <c r="H74" s="19" t="s">
        <v>186</v>
      </c>
      <c r="I74" s="22">
        <v>496</v>
      </c>
      <c r="J74" s="22">
        <v>600</v>
      </c>
      <c r="K74" s="22">
        <v>700</v>
      </c>
      <c r="L74" s="20">
        <v>664.68</v>
      </c>
      <c r="M74" s="23" t="s">
        <v>7</v>
      </c>
      <c r="N74" s="24" t="s">
        <v>119</v>
      </c>
      <c r="O74" s="19" t="s">
        <v>228</v>
      </c>
    </row>
    <row r="75" spans="1:15" ht="18" customHeight="1" x14ac:dyDescent="0.35">
      <c r="A75" s="19">
        <v>22</v>
      </c>
      <c r="B75" s="20" t="s">
        <v>243</v>
      </c>
      <c r="C75" s="21"/>
      <c r="D75" s="21"/>
      <c r="E75" s="21" t="s">
        <v>225</v>
      </c>
      <c r="F75" s="19" t="s">
        <v>221</v>
      </c>
      <c r="G75" s="21" t="s">
        <v>222</v>
      </c>
      <c r="H75" s="19" t="s">
        <v>186</v>
      </c>
      <c r="I75" s="22">
        <v>496</v>
      </c>
      <c r="J75" s="22">
        <v>600</v>
      </c>
      <c r="K75" s="22">
        <v>700</v>
      </c>
      <c r="L75" s="20">
        <v>665.26</v>
      </c>
      <c r="M75" s="23" t="s">
        <v>7</v>
      </c>
      <c r="N75" s="24" t="s">
        <v>119</v>
      </c>
      <c r="O75" s="19" t="s">
        <v>239</v>
      </c>
    </row>
    <row r="76" spans="1:15" ht="18" customHeight="1" x14ac:dyDescent="0.35">
      <c r="A76" s="19">
        <v>23</v>
      </c>
      <c r="B76" s="20" t="s">
        <v>13</v>
      </c>
      <c r="C76" s="21"/>
      <c r="D76" s="21"/>
      <c r="E76" s="21" t="s">
        <v>225</v>
      </c>
      <c r="F76" s="19" t="s">
        <v>221</v>
      </c>
      <c r="G76" s="21" t="s">
        <v>222</v>
      </c>
      <c r="H76" s="19" t="s">
        <v>186</v>
      </c>
      <c r="I76" s="22">
        <v>496</v>
      </c>
      <c r="J76" s="22">
        <v>600</v>
      </c>
      <c r="K76" s="22">
        <v>700</v>
      </c>
      <c r="L76" s="20">
        <v>664.68</v>
      </c>
      <c r="M76" s="23" t="s">
        <v>7</v>
      </c>
      <c r="N76" s="24" t="s">
        <v>119</v>
      </c>
      <c r="O76" s="19" t="s">
        <v>13</v>
      </c>
    </row>
    <row r="77" spans="1:15" ht="18" customHeight="1" x14ac:dyDescent="0.35">
      <c r="A77" s="10">
        <v>24</v>
      </c>
      <c r="B77" s="25" t="s">
        <v>244</v>
      </c>
      <c r="C77" s="9"/>
      <c r="D77" s="9"/>
      <c r="E77" s="9" t="s">
        <v>225</v>
      </c>
      <c r="F77" s="10" t="s">
        <v>221</v>
      </c>
      <c r="G77" s="9" t="s">
        <v>222</v>
      </c>
      <c r="H77" s="10" t="s">
        <v>186</v>
      </c>
      <c r="I77" s="26">
        <v>496</v>
      </c>
      <c r="J77" s="26">
        <v>600</v>
      </c>
      <c r="K77" s="26">
        <v>700</v>
      </c>
      <c r="L77" s="25">
        <v>562.41999999999996</v>
      </c>
      <c r="M77" s="27" t="s">
        <v>6</v>
      </c>
      <c r="N77" s="28" t="s">
        <v>237</v>
      </c>
      <c r="O77" s="10" t="s">
        <v>239</v>
      </c>
    </row>
    <row r="78" spans="1:15" ht="18" customHeight="1" x14ac:dyDescent="0.35">
      <c r="A78" s="19">
        <v>25</v>
      </c>
      <c r="B78" s="20" t="s">
        <v>245</v>
      </c>
      <c r="C78" s="21"/>
      <c r="D78" s="21"/>
      <c r="E78" s="21" t="s">
        <v>225</v>
      </c>
      <c r="F78" s="19" t="s">
        <v>221</v>
      </c>
      <c r="G78" s="21" t="s">
        <v>222</v>
      </c>
      <c r="H78" s="19" t="s">
        <v>186</v>
      </c>
      <c r="I78" s="22">
        <v>496</v>
      </c>
      <c r="J78" s="22">
        <v>600</v>
      </c>
      <c r="K78" s="22">
        <v>700</v>
      </c>
      <c r="L78" s="20">
        <v>703.97</v>
      </c>
      <c r="M78" s="23" t="s">
        <v>62</v>
      </c>
      <c r="N78" s="24" t="s">
        <v>63</v>
      </c>
      <c r="O78" s="19" t="s">
        <v>239</v>
      </c>
    </row>
    <row r="79" spans="1:15" ht="18" customHeight="1" x14ac:dyDescent="0.35">
      <c r="A79" s="19">
        <v>26</v>
      </c>
      <c r="B79" s="20" t="s">
        <v>246</v>
      </c>
      <c r="C79" s="21"/>
      <c r="D79" s="21"/>
      <c r="E79" s="21" t="s">
        <v>225</v>
      </c>
      <c r="F79" s="19" t="s">
        <v>221</v>
      </c>
      <c r="G79" s="21" t="s">
        <v>222</v>
      </c>
      <c r="H79" s="19" t="s">
        <v>186</v>
      </c>
      <c r="I79" s="22">
        <v>496</v>
      </c>
      <c r="J79" s="22">
        <v>600</v>
      </c>
      <c r="K79" s="22">
        <v>700</v>
      </c>
      <c r="L79" s="20">
        <v>677.2</v>
      </c>
      <c r="M79" s="23" t="s">
        <v>7</v>
      </c>
      <c r="N79" s="24" t="s">
        <v>233</v>
      </c>
      <c r="O79" s="19" t="s">
        <v>231</v>
      </c>
    </row>
    <row r="80" spans="1:15" ht="18" customHeight="1" x14ac:dyDescent="0.35">
      <c r="A80" s="19">
        <v>27</v>
      </c>
      <c r="B80" s="20" t="s">
        <v>13</v>
      </c>
      <c r="C80" s="21"/>
      <c r="D80" s="21"/>
      <c r="E80" s="21" t="s">
        <v>225</v>
      </c>
      <c r="F80" s="19" t="s">
        <v>221</v>
      </c>
      <c r="G80" s="21" t="s">
        <v>222</v>
      </c>
      <c r="H80" s="19" t="s">
        <v>186</v>
      </c>
      <c r="I80" s="22">
        <v>496</v>
      </c>
      <c r="J80" s="22">
        <v>600</v>
      </c>
      <c r="K80" s="22">
        <v>700</v>
      </c>
      <c r="L80" s="20">
        <v>665.26</v>
      </c>
      <c r="M80" s="23" t="s">
        <v>7</v>
      </c>
      <c r="N80" s="24" t="s">
        <v>119</v>
      </c>
      <c r="O80" s="19" t="s">
        <v>13</v>
      </c>
    </row>
    <row r="81" spans="1:15" ht="18" customHeight="1" x14ac:dyDescent="0.35">
      <c r="A81" s="19">
        <v>28</v>
      </c>
      <c r="B81" s="20" t="s">
        <v>247</v>
      </c>
      <c r="C81" s="21"/>
      <c r="D81" s="21"/>
      <c r="E81" s="21" t="s">
        <v>225</v>
      </c>
      <c r="F81" s="19" t="s">
        <v>221</v>
      </c>
      <c r="G81" s="21" t="s">
        <v>222</v>
      </c>
      <c r="H81" s="19" t="s">
        <v>186</v>
      </c>
      <c r="I81" s="22">
        <v>496</v>
      </c>
      <c r="J81" s="22">
        <v>600</v>
      </c>
      <c r="K81" s="22">
        <v>700</v>
      </c>
      <c r="L81" s="20">
        <v>694.84</v>
      </c>
      <c r="M81" s="23" t="s">
        <v>7</v>
      </c>
      <c r="N81" s="24" t="s">
        <v>248</v>
      </c>
      <c r="O81" s="19" t="s">
        <v>228</v>
      </c>
    </row>
    <row r="82" spans="1:15" ht="18" customHeight="1" x14ac:dyDescent="0.35">
      <c r="A82" s="19">
        <v>29</v>
      </c>
      <c r="B82" s="20" t="s">
        <v>249</v>
      </c>
      <c r="C82" s="21"/>
      <c r="D82" s="21"/>
      <c r="E82" s="21" t="s">
        <v>225</v>
      </c>
      <c r="F82" s="19" t="s">
        <v>221</v>
      </c>
      <c r="G82" s="21" t="s">
        <v>222</v>
      </c>
      <c r="H82" s="19" t="s">
        <v>186</v>
      </c>
      <c r="I82" s="22">
        <v>496</v>
      </c>
      <c r="J82" s="22">
        <v>600</v>
      </c>
      <c r="K82" s="22">
        <v>700</v>
      </c>
      <c r="L82" s="20">
        <v>664.68</v>
      </c>
      <c r="M82" s="23" t="s">
        <v>7</v>
      </c>
      <c r="N82" s="24" t="s">
        <v>119</v>
      </c>
      <c r="O82" s="19" t="s">
        <v>228</v>
      </c>
    </row>
    <row r="83" spans="1:15" ht="18" customHeight="1" x14ac:dyDescent="0.35">
      <c r="A83" s="19">
        <v>30</v>
      </c>
      <c r="B83" s="20" t="s">
        <v>250</v>
      </c>
      <c r="C83" s="21"/>
      <c r="D83" s="21"/>
      <c r="E83" s="21" t="s">
        <v>225</v>
      </c>
      <c r="F83" s="19" t="s">
        <v>221</v>
      </c>
      <c r="G83" s="21" t="s">
        <v>222</v>
      </c>
      <c r="H83" s="19" t="s">
        <v>186</v>
      </c>
      <c r="I83" s="22">
        <v>496</v>
      </c>
      <c r="J83" s="22">
        <v>600</v>
      </c>
      <c r="K83" s="22">
        <v>700</v>
      </c>
      <c r="L83" s="20">
        <v>693.51</v>
      </c>
      <c r="M83" s="23" t="s">
        <v>7</v>
      </c>
      <c r="N83" s="24" t="s">
        <v>248</v>
      </c>
      <c r="O83" s="19" t="s">
        <v>239</v>
      </c>
    </row>
    <row r="84" spans="1:15" ht="18" customHeight="1" x14ac:dyDescent="0.35">
      <c r="A84" s="19">
        <v>31</v>
      </c>
      <c r="B84" s="20" t="s">
        <v>251</v>
      </c>
      <c r="C84" s="21"/>
      <c r="D84" s="21"/>
      <c r="E84" s="21" t="s">
        <v>225</v>
      </c>
      <c r="F84" s="19" t="s">
        <v>221</v>
      </c>
      <c r="G84" s="21" t="s">
        <v>222</v>
      </c>
      <c r="H84" s="19" t="s">
        <v>186</v>
      </c>
      <c r="I84" s="22">
        <v>496</v>
      </c>
      <c r="J84" s="22">
        <v>600</v>
      </c>
      <c r="K84" s="22">
        <v>700</v>
      </c>
      <c r="L84" s="20">
        <v>664.68</v>
      </c>
      <c r="M84" s="23" t="s">
        <v>7</v>
      </c>
      <c r="N84" s="24" t="s">
        <v>119</v>
      </c>
      <c r="O84" s="19" t="s">
        <v>228</v>
      </c>
    </row>
    <row r="85" spans="1:15" ht="18" customHeight="1" x14ac:dyDescent="0.35">
      <c r="A85" s="19">
        <v>32</v>
      </c>
      <c r="B85" s="20" t="s">
        <v>252</v>
      </c>
      <c r="C85" s="21"/>
      <c r="D85" s="21"/>
      <c r="E85" s="21" t="s">
        <v>225</v>
      </c>
      <c r="F85" s="19" t="s">
        <v>221</v>
      </c>
      <c r="G85" s="21" t="s">
        <v>222</v>
      </c>
      <c r="H85" s="19" t="s">
        <v>186</v>
      </c>
      <c r="I85" s="22">
        <v>496</v>
      </c>
      <c r="J85" s="22">
        <v>600</v>
      </c>
      <c r="K85" s="22">
        <v>700</v>
      </c>
      <c r="L85" s="20">
        <v>664.68</v>
      </c>
      <c r="M85" s="23" t="s">
        <v>7</v>
      </c>
      <c r="N85" s="24" t="s">
        <v>119</v>
      </c>
      <c r="O85" s="19" t="s">
        <v>228</v>
      </c>
    </row>
    <row r="86" spans="1:15" ht="18" customHeight="1" x14ac:dyDescent="0.35">
      <c r="A86" s="19">
        <v>33</v>
      </c>
      <c r="B86" s="20" t="s">
        <v>253</v>
      </c>
      <c r="C86" s="21"/>
      <c r="D86" s="21"/>
      <c r="E86" s="21" t="s">
        <v>225</v>
      </c>
      <c r="F86" s="19" t="s">
        <v>221</v>
      </c>
      <c r="G86" s="21" t="s">
        <v>222</v>
      </c>
      <c r="H86" s="19" t="s">
        <v>186</v>
      </c>
      <c r="I86" s="22">
        <v>496</v>
      </c>
      <c r="J86" s="22">
        <v>600</v>
      </c>
      <c r="K86" s="22">
        <v>700</v>
      </c>
      <c r="L86" s="20">
        <v>664.68</v>
      </c>
      <c r="M86" s="23" t="s">
        <v>7</v>
      </c>
      <c r="N86" s="24" t="s">
        <v>119</v>
      </c>
      <c r="O86" s="19" t="s">
        <v>228</v>
      </c>
    </row>
    <row r="87" spans="1:15" ht="18" customHeight="1" x14ac:dyDescent="0.35">
      <c r="A87" s="19">
        <v>34</v>
      </c>
      <c r="B87" s="20" t="s">
        <v>254</v>
      </c>
      <c r="C87" s="21"/>
      <c r="D87" s="21"/>
      <c r="E87" s="21" t="s">
        <v>225</v>
      </c>
      <c r="F87" s="19" t="s">
        <v>221</v>
      </c>
      <c r="G87" s="21" t="s">
        <v>222</v>
      </c>
      <c r="H87" s="19" t="s">
        <v>186</v>
      </c>
      <c r="I87" s="22">
        <v>496</v>
      </c>
      <c r="J87" s="22">
        <v>600</v>
      </c>
      <c r="K87" s="22">
        <v>700</v>
      </c>
      <c r="L87" s="20">
        <v>664.68</v>
      </c>
      <c r="M87" s="23" t="s">
        <v>7</v>
      </c>
      <c r="N87" s="24" t="s">
        <v>119</v>
      </c>
      <c r="O87" s="19" t="s">
        <v>239</v>
      </c>
    </row>
    <row r="88" spans="1:15" ht="18" customHeight="1" x14ac:dyDescent="0.35">
      <c r="A88" s="19">
        <v>35</v>
      </c>
      <c r="B88" s="20" t="s">
        <v>255</v>
      </c>
      <c r="C88" s="21"/>
      <c r="D88" s="21"/>
      <c r="E88" s="21" t="s">
        <v>225</v>
      </c>
      <c r="F88" s="19" t="s">
        <v>256</v>
      </c>
      <c r="G88" s="21" t="s">
        <v>257</v>
      </c>
      <c r="H88" s="19" t="s">
        <v>186</v>
      </c>
      <c r="I88" s="22">
        <v>496</v>
      </c>
      <c r="J88" s="22">
        <v>639</v>
      </c>
      <c r="K88" s="22">
        <v>750</v>
      </c>
      <c r="L88" s="20">
        <v>741.37</v>
      </c>
      <c r="M88" s="23" t="s">
        <v>7</v>
      </c>
      <c r="N88" s="24" t="s">
        <v>258</v>
      </c>
      <c r="O88" s="19" t="s">
        <v>231</v>
      </c>
    </row>
    <row r="89" spans="1:15" ht="18" customHeight="1" x14ac:dyDescent="0.35">
      <c r="A89" s="19">
        <v>36</v>
      </c>
      <c r="B89" s="20" t="s">
        <v>259</v>
      </c>
      <c r="C89" s="21"/>
      <c r="D89" s="21"/>
      <c r="E89" s="21" t="s">
        <v>225</v>
      </c>
      <c r="F89" s="19" t="s">
        <v>256</v>
      </c>
      <c r="G89" s="21" t="s">
        <v>257</v>
      </c>
      <c r="H89" s="19" t="s">
        <v>186</v>
      </c>
      <c r="I89" s="22">
        <v>496</v>
      </c>
      <c r="J89" s="22">
        <v>639</v>
      </c>
      <c r="K89" s="22">
        <v>750</v>
      </c>
      <c r="L89" s="20">
        <v>741.37</v>
      </c>
      <c r="M89" s="23" t="s">
        <v>7</v>
      </c>
      <c r="N89" s="24" t="s">
        <v>258</v>
      </c>
      <c r="O89" s="19" t="s">
        <v>239</v>
      </c>
    </row>
    <row r="90" spans="1:15" ht="18" customHeight="1" x14ac:dyDescent="0.35">
      <c r="A90" s="19">
        <v>37</v>
      </c>
      <c r="B90" s="20" t="s">
        <v>260</v>
      </c>
      <c r="C90" s="21"/>
      <c r="D90" s="21"/>
      <c r="E90" s="21" t="s">
        <v>225</v>
      </c>
      <c r="F90" s="19" t="s">
        <v>256</v>
      </c>
      <c r="G90" s="21" t="s">
        <v>257</v>
      </c>
      <c r="H90" s="19" t="s">
        <v>186</v>
      </c>
      <c r="I90" s="22">
        <v>496</v>
      </c>
      <c r="J90" s="22">
        <v>639</v>
      </c>
      <c r="K90" s="22">
        <v>750</v>
      </c>
      <c r="L90" s="20">
        <v>741.37</v>
      </c>
      <c r="M90" s="23" t="s">
        <v>7</v>
      </c>
      <c r="N90" s="24" t="s">
        <v>258</v>
      </c>
      <c r="O90" s="19" t="s">
        <v>228</v>
      </c>
    </row>
    <row r="91" spans="1:15" ht="18" customHeight="1" x14ac:dyDescent="0.35">
      <c r="A91" s="19">
        <v>38</v>
      </c>
      <c r="B91" s="20" t="s">
        <v>13</v>
      </c>
      <c r="C91" s="21"/>
      <c r="D91" s="21"/>
      <c r="E91" s="21" t="s">
        <v>225</v>
      </c>
      <c r="F91" s="19" t="s">
        <v>256</v>
      </c>
      <c r="G91" s="21" t="s">
        <v>257</v>
      </c>
      <c r="H91" s="19" t="s">
        <v>186</v>
      </c>
      <c r="I91" s="22">
        <v>496</v>
      </c>
      <c r="J91" s="22">
        <v>639</v>
      </c>
      <c r="K91" s="22">
        <v>750</v>
      </c>
      <c r="L91" s="20">
        <v>741.37</v>
      </c>
      <c r="M91" s="23" t="s">
        <v>7</v>
      </c>
      <c r="N91" s="24" t="s">
        <v>258</v>
      </c>
      <c r="O91" s="19" t="s">
        <v>13</v>
      </c>
    </row>
    <row r="92" spans="1:15" ht="18" customHeight="1" x14ac:dyDescent="0.35">
      <c r="A92" s="19">
        <v>39</v>
      </c>
      <c r="B92" s="20" t="s">
        <v>261</v>
      </c>
      <c r="C92" s="21"/>
      <c r="D92" s="21"/>
      <c r="E92" s="21" t="s">
        <v>225</v>
      </c>
      <c r="F92" s="19" t="s">
        <v>256</v>
      </c>
      <c r="G92" s="21" t="s">
        <v>257</v>
      </c>
      <c r="H92" s="19" t="s">
        <v>186</v>
      </c>
      <c r="I92" s="22">
        <v>496</v>
      </c>
      <c r="J92" s="22">
        <v>639</v>
      </c>
      <c r="K92" s="22">
        <v>750</v>
      </c>
      <c r="L92" s="20">
        <v>741.37</v>
      </c>
      <c r="M92" s="23" t="s">
        <v>7</v>
      </c>
      <c r="N92" s="24" t="s">
        <v>258</v>
      </c>
      <c r="O92" s="19" t="s">
        <v>239</v>
      </c>
    </row>
    <row r="93" spans="1:15" ht="18" customHeight="1" x14ac:dyDescent="0.35">
      <c r="A93" s="19">
        <v>40</v>
      </c>
      <c r="B93" s="20" t="s">
        <v>262</v>
      </c>
      <c r="C93" s="21"/>
      <c r="D93" s="21"/>
      <c r="E93" s="21" t="s">
        <v>225</v>
      </c>
      <c r="F93" s="19" t="s">
        <v>256</v>
      </c>
      <c r="G93" s="21" t="s">
        <v>257</v>
      </c>
      <c r="H93" s="19" t="s">
        <v>186</v>
      </c>
      <c r="I93" s="22">
        <v>496</v>
      </c>
      <c r="J93" s="22">
        <v>639</v>
      </c>
      <c r="K93" s="22">
        <v>750</v>
      </c>
      <c r="L93" s="20">
        <v>680.63</v>
      </c>
      <c r="M93" s="23" t="s">
        <v>7</v>
      </c>
      <c r="N93" s="24" t="s">
        <v>78</v>
      </c>
      <c r="O93" s="19" t="s">
        <v>231</v>
      </c>
    </row>
    <row r="94" spans="1:15" ht="18" customHeight="1" x14ac:dyDescent="0.35">
      <c r="A94" s="19">
        <v>41</v>
      </c>
      <c r="B94" s="20" t="s">
        <v>263</v>
      </c>
      <c r="C94" s="21"/>
      <c r="D94" s="21"/>
      <c r="E94" s="21" t="s">
        <v>225</v>
      </c>
      <c r="F94" s="19" t="s">
        <v>256</v>
      </c>
      <c r="G94" s="21" t="s">
        <v>257</v>
      </c>
      <c r="H94" s="19" t="s">
        <v>186</v>
      </c>
      <c r="I94" s="22">
        <v>496</v>
      </c>
      <c r="J94" s="22">
        <v>639</v>
      </c>
      <c r="K94" s="22">
        <v>750</v>
      </c>
      <c r="L94" s="20">
        <v>767.89</v>
      </c>
      <c r="M94" s="23" t="s">
        <v>62</v>
      </c>
      <c r="N94" s="24" t="s">
        <v>63</v>
      </c>
      <c r="O94" s="19" t="s">
        <v>231</v>
      </c>
    </row>
    <row r="95" spans="1:15" ht="18" customHeight="1" x14ac:dyDescent="0.35">
      <c r="A95" s="19">
        <v>42</v>
      </c>
      <c r="B95" s="20" t="s">
        <v>264</v>
      </c>
      <c r="C95" s="21"/>
      <c r="D95" s="21"/>
      <c r="E95" s="21" t="s">
        <v>225</v>
      </c>
      <c r="F95" s="19" t="s">
        <v>256</v>
      </c>
      <c r="G95" s="21" t="s">
        <v>257</v>
      </c>
      <c r="H95" s="19" t="s">
        <v>186</v>
      </c>
      <c r="I95" s="22">
        <v>496</v>
      </c>
      <c r="J95" s="22">
        <v>639</v>
      </c>
      <c r="K95" s="22">
        <v>750</v>
      </c>
      <c r="L95" s="20">
        <v>639.12</v>
      </c>
      <c r="M95" s="23" t="s">
        <v>7</v>
      </c>
      <c r="N95" s="24" t="s">
        <v>265</v>
      </c>
      <c r="O95" s="19" t="s">
        <v>239</v>
      </c>
    </row>
    <row r="96" spans="1:15" ht="18" customHeight="1" x14ac:dyDescent="0.35">
      <c r="A96" s="19">
        <v>43</v>
      </c>
      <c r="B96" s="20" t="s">
        <v>266</v>
      </c>
      <c r="C96" s="21"/>
      <c r="D96" s="21"/>
      <c r="E96" s="21" t="s">
        <v>225</v>
      </c>
      <c r="F96" s="19" t="s">
        <v>256</v>
      </c>
      <c r="G96" s="21" t="s">
        <v>257</v>
      </c>
      <c r="H96" s="19" t="s">
        <v>186</v>
      </c>
      <c r="I96" s="22">
        <v>496</v>
      </c>
      <c r="J96" s="22">
        <v>639</v>
      </c>
      <c r="K96" s="22">
        <v>750</v>
      </c>
      <c r="L96" s="20">
        <v>639.11</v>
      </c>
      <c r="M96" s="23" t="s">
        <v>7</v>
      </c>
      <c r="N96" s="24" t="s">
        <v>265</v>
      </c>
      <c r="O96" s="19" t="s">
        <v>228</v>
      </c>
    </row>
    <row r="97" spans="1:15" ht="18" customHeight="1" x14ac:dyDescent="0.35">
      <c r="A97" s="19">
        <v>44</v>
      </c>
      <c r="B97" s="20" t="s">
        <v>267</v>
      </c>
      <c r="C97" s="21"/>
      <c r="D97" s="21"/>
      <c r="E97" s="21" t="s">
        <v>225</v>
      </c>
      <c r="F97" s="19" t="s">
        <v>256</v>
      </c>
      <c r="G97" s="21" t="s">
        <v>257</v>
      </c>
      <c r="H97" s="19" t="s">
        <v>186</v>
      </c>
      <c r="I97" s="22">
        <v>496</v>
      </c>
      <c r="J97" s="22">
        <v>639</v>
      </c>
      <c r="K97" s="22">
        <v>750</v>
      </c>
      <c r="L97" s="20">
        <v>741.37</v>
      </c>
      <c r="M97" s="23" t="s">
        <v>7</v>
      </c>
      <c r="N97" s="24" t="s">
        <v>258</v>
      </c>
      <c r="O97" s="19" t="s">
        <v>239</v>
      </c>
    </row>
    <row r="98" spans="1:15" ht="18" customHeight="1" x14ac:dyDescent="0.35">
      <c r="A98" s="80" t="s">
        <v>268</v>
      </c>
      <c r="B98" s="80"/>
      <c r="C98" s="80"/>
      <c r="D98" s="80"/>
      <c r="E98" s="80"/>
      <c r="F98" s="80"/>
      <c r="G98" s="80"/>
      <c r="H98" s="80"/>
      <c r="I98" s="80"/>
      <c r="J98" s="80"/>
      <c r="K98" s="80"/>
      <c r="L98" s="80"/>
      <c r="M98" s="80"/>
      <c r="N98" s="80"/>
      <c r="O98" s="80"/>
    </row>
    <row r="99" spans="1:15" ht="18" customHeight="1" x14ac:dyDescent="0.35">
      <c r="A99" s="10">
        <v>1</v>
      </c>
      <c r="B99" s="25" t="s">
        <v>269</v>
      </c>
      <c r="C99" s="9"/>
      <c r="D99" s="9"/>
      <c r="E99" s="9" t="s">
        <v>270</v>
      </c>
      <c r="F99" s="10" t="s">
        <v>271</v>
      </c>
      <c r="G99" s="9" t="s">
        <v>272</v>
      </c>
      <c r="H99" s="10" t="s">
        <v>61</v>
      </c>
      <c r="I99" s="26">
        <v>1460</v>
      </c>
      <c r="J99" s="26">
        <v>1881</v>
      </c>
      <c r="K99" s="26">
        <v>2200</v>
      </c>
      <c r="L99" s="25">
        <v>1789.52</v>
      </c>
      <c r="M99" s="27" t="s">
        <v>6</v>
      </c>
      <c r="N99" s="28" t="s">
        <v>273</v>
      </c>
      <c r="O99" s="10" t="s">
        <v>274</v>
      </c>
    </row>
    <row r="100" spans="1:15" ht="18" customHeight="1" x14ac:dyDescent="0.35">
      <c r="A100" s="19">
        <v>2</v>
      </c>
      <c r="B100" s="20" t="s">
        <v>275</v>
      </c>
      <c r="C100" s="21"/>
      <c r="D100" s="21"/>
      <c r="E100" s="21" t="s">
        <v>107</v>
      </c>
      <c r="F100" s="19" t="s">
        <v>108</v>
      </c>
      <c r="G100" s="21" t="s">
        <v>109</v>
      </c>
      <c r="H100" s="19" t="s">
        <v>87</v>
      </c>
      <c r="I100" s="22">
        <v>604</v>
      </c>
      <c r="J100" s="22">
        <v>735</v>
      </c>
      <c r="K100" s="22">
        <v>861</v>
      </c>
      <c r="L100" s="20">
        <v>853.86</v>
      </c>
      <c r="M100" s="23" t="s">
        <v>7</v>
      </c>
      <c r="N100" s="24" t="s">
        <v>248</v>
      </c>
      <c r="O100" s="19" t="s">
        <v>276</v>
      </c>
    </row>
    <row r="101" spans="1:15" ht="18" customHeight="1" x14ac:dyDescent="0.35">
      <c r="A101" s="19">
        <v>3</v>
      </c>
      <c r="B101" s="20" t="s">
        <v>277</v>
      </c>
      <c r="C101" s="21"/>
      <c r="D101" s="21"/>
      <c r="E101" s="21" t="s">
        <v>278</v>
      </c>
      <c r="F101" s="19" t="s">
        <v>279</v>
      </c>
      <c r="G101" s="21" t="s">
        <v>280</v>
      </c>
      <c r="H101" s="19" t="s">
        <v>61</v>
      </c>
      <c r="I101" s="22">
        <v>576</v>
      </c>
      <c r="J101" s="22">
        <v>660</v>
      </c>
      <c r="K101" s="22">
        <v>781</v>
      </c>
      <c r="L101" s="20">
        <v>695.36</v>
      </c>
      <c r="M101" s="23" t="s">
        <v>7</v>
      </c>
      <c r="N101" s="24" t="s">
        <v>88</v>
      </c>
      <c r="O101" s="19" t="s">
        <v>281</v>
      </c>
    </row>
    <row r="102" spans="1:15" ht="18" customHeight="1" x14ac:dyDescent="0.35">
      <c r="A102" s="19">
        <v>4</v>
      </c>
      <c r="B102" s="20" t="s">
        <v>282</v>
      </c>
      <c r="C102" s="21"/>
      <c r="D102" s="21"/>
      <c r="E102" s="21" t="s">
        <v>283</v>
      </c>
      <c r="F102" s="19" t="s">
        <v>284</v>
      </c>
      <c r="G102" s="21" t="s">
        <v>285</v>
      </c>
      <c r="H102" s="19" t="s">
        <v>61</v>
      </c>
      <c r="I102" s="22">
        <v>576</v>
      </c>
      <c r="J102" s="22">
        <v>743</v>
      </c>
      <c r="K102" s="22">
        <v>1041</v>
      </c>
      <c r="L102" s="20">
        <v>894.76</v>
      </c>
      <c r="M102" s="23" t="s">
        <v>7</v>
      </c>
      <c r="N102" s="24" t="s">
        <v>286</v>
      </c>
      <c r="O102" s="19" t="s">
        <v>287</v>
      </c>
    </row>
    <row r="103" spans="1:15" ht="18" customHeight="1" x14ac:dyDescent="0.35">
      <c r="A103" s="19">
        <v>5</v>
      </c>
      <c r="B103" s="20" t="s">
        <v>288</v>
      </c>
      <c r="C103" s="21"/>
      <c r="D103" s="21"/>
      <c r="E103" s="21" t="s">
        <v>278</v>
      </c>
      <c r="F103" s="19" t="s">
        <v>279</v>
      </c>
      <c r="G103" s="21" t="s">
        <v>280</v>
      </c>
      <c r="H103" s="19" t="s">
        <v>61</v>
      </c>
      <c r="I103" s="22">
        <v>576</v>
      </c>
      <c r="J103" s="22">
        <v>660</v>
      </c>
      <c r="K103" s="22">
        <v>781</v>
      </c>
      <c r="L103" s="20">
        <v>710.77</v>
      </c>
      <c r="M103" s="23" t="s">
        <v>7</v>
      </c>
      <c r="N103" s="24" t="s">
        <v>289</v>
      </c>
      <c r="O103" s="19" t="s">
        <v>290</v>
      </c>
    </row>
    <row r="104" spans="1:15" ht="18" customHeight="1" x14ac:dyDescent="0.35">
      <c r="A104" s="19">
        <v>6</v>
      </c>
      <c r="B104" s="20" t="s">
        <v>291</v>
      </c>
      <c r="C104" s="21"/>
      <c r="D104" s="21"/>
      <c r="E104" s="21" t="s">
        <v>278</v>
      </c>
      <c r="F104" s="19" t="s">
        <v>279</v>
      </c>
      <c r="G104" s="21" t="s">
        <v>280</v>
      </c>
      <c r="H104" s="19" t="s">
        <v>61</v>
      </c>
      <c r="I104" s="22">
        <v>576</v>
      </c>
      <c r="J104" s="22">
        <v>660</v>
      </c>
      <c r="K104" s="22">
        <v>781</v>
      </c>
      <c r="L104" s="20">
        <v>674.91</v>
      </c>
      <c r="M104" s="23" t="s">
        <v>7</v>
      </c>
      <c r="N104" s="24" t="s">
        <v>207</v>
      </c>
      <c r="O104" s="19" t="s">
        <v>290</v>
      </c>
    </row>
    <row r="105" spans="1:15" ht="18" customHeight="1" x14ac:dyDescent="0.35">
      <c r="A105" s="10">
        <v>7</v>
      </c>
      <c r="B105" s="25" t="s">
        <v>292</v>
      </c>
      <c r="C105" s="9"/>
      <c r="D105" s="9"/>
      <c r="E105" s="9" t="s">
        <v>293</v>
      </c>
      <c r="F105" s="10" t="s">
        <v>294</v>
      </c>
      <c r="G105" s="9" t="s">
        <v>295</v>
      </c>
      <c r="H105" s="10" t="s">
        <v>61</v>
      </c>
      <c r="I105" s="26">
        <v>770</v>
      </c>
      <c r="J105" s="26">
        <v>1086</v>
      </c>
      <c r="K105" s="26">
        <v>1265</v>
      </c>
      <c r="L105" s="25">
        <v>1022.58</v>
      </c>
      <c r="M105" s="27" t="s">
        <v>6</v>
      </c>
      <c r="N105" s="28" t="s">
        <v>296</v>
      </c>
      <c r="O105" s="10" t="s">
        <v>281</v>
      </c>
    </row>
    <row r="106" spans="1:15" ht="18" customHeight="1" x14ac:dyDescent="0.35">
      <c r="A106" s="19">
        <v>8</v>
      </c>
      <c r="B106" s="20" t="s">
        <v>297</v>
      </c>
      <c r="C106" s="21"/>
      <c r="D106" s="21"/>
      <c r="E106" s="21" t="s">
        <v>283</v>
      </c>
      <c r="F106" s="19" t="s">
        <v>284</v>
      </c>
      <c r="G106" s="21" t="s">
        <v>285</v>
      </c>
      <c r="H106" s="19" t="s">
        <v>61</v>
      </c>
      <c r="I106" s="22">
        <v>576</v>
      </c>
      <c r="J106" s="22">
        <v>743</v>
      </c>
      <c r="K106" s="22">
        <v>1041</v>
      </c>
      <c r="L106" s="20">
        <v>945.89</v>
      </c>
      <c r="M106" s="23" t="s">
        <v>7</v>
      </c>
      <c r="N106" s="24" t="s">
        <v>298</v>
      </c>
      <c r="O106" s="19" t="s">
        <v>287</v>
      </c>
    </row>
    <row r="107" spans="1:15" ht="18" customHeight="1" x14ac:dyDescent="0.35">
      <c r="A107" s="19">
        <v>9</v>
      </c>
      <c r="B107" s="20" t="s">
        <v>299</v>
      </c>
      <c r="C107" s="21"/>
      <c r="D107" s="21"/>
      <c r="E107" s="21" t="s">
        <v>107</v>
      </c>
      <c r="F107" s="19" t="s">
        <v>108</v>
      </c>
      <c r="G107" s="21" t="s">
        <v>109</v>
      </c>
      <c r="H107" s="19" t="s">
        <v>87</v>
      </c>
      <c r="I107" s="22">
        <v>604</v>
      </c>
      <c r="J107" s="22">
        <v>735</v>
      </c>
      <c r="K107" s="22">
        <v>861</v>
      </c>
      <c r="L107" s="20">
        <v>818.07</v>
      </c>
      <c r="M107" s="23" t="s">
        <v>7</v>
      </c>
      <c r="N107" s="24" t="s">
        <v>119</v>
      </c>
      <c r="O107" s="19" t="s">
        <v>276</v>
      </c>
    </row>
    <row r="108" spans="1:15" ht="18" customHeight="1" x14ac:dyDescent="0.35">
      <c r="A108" s="19">
        <v>10</v>
      </c>
      <c r="B108" s="20" t="s">
        <v>300</v>
      </c>
      <c r="C108" s="21"/>
      <c r="D108" s="21"/>
      <c r="E108" s="21" t="s">
        <v>301</v>
      </c>
      <c r="F108" s="19" t="s">
        <v>302</v>
      </c>
      <c r="G108" s="21" t="s">
        <v>303</v>
      </c>
      <c r="H108" s="19" t="s">
        <v>61</v>
      </c>
      <c r="I108" s="22">
        <v>568</v>
      </c>
      <c r="J108" s="22">
        <v>732</v>
      </c>
      <c r="K108" s="22">
        <v>902</v>
      </c>
      <c r="L108" s="20">
        <v>1227.0999999999999</v>
      </c>
      <c r="M108" s="23" t="s">
        <v>62</v>
      </c>
      <c r="N108" s="24" t="s">
        <v>63</v>
      </c>
      <c r="O108" s="19" t="s">
        <v>276</v>
      </c>
    </row>
    <row r="109" spans="1:15" ht="18" customHeight="1" x14ac:dyDescent="0.35">
      <c r="A109" s="19">
        <v>11</v>
      </c>
      <c r="B109" s="20" t="s">
        <v>304</v>
      </c>
      <c r="C109" s="21"/>
      <c r="D109" s="21"/>
      <c r="E109" s="21" t="s">
        <v>305</v>
      </c>
      <c r="F109" s="19" t="s">
        <v>279</v>
      </c>
      <c r="G109" s="21" t="s">
        <v>280</v>
      </c>
      <c r="H109" s="19" t="s">
        <v>61</v>
      </c>
      <c r="I109" s="22">
        <v>576</v>
      </c>
      <c r="J109" s="22">
        <v>660</v>
      </c>
      <c r="K109" s="22">
        <v>781</v>
      </c>
      <c r="L109" s="20">
        <v>997.02</v>
      </c>
      <c r="M109" s="23" t="s">
        <v>62</v>
      </c>
      <c r="N109" s="24" t="s">
        <v>63</v>
      </c>
      <c r="O109" s="19" t="s">
        <v>276</v>
      </c>
    </row>
    <row r="110" spans="1:15" ht="18" customHeight="1" x14ac:dyDescent="0.35">
      <c r="A110" s="19">
        <v>12</v>
      </c>
      <c r="B110" s="20" t="s">
        <v>306</v>
      </c>
      <c r="C110" s="21"/>
      <c r="D110" s="21"/>
      <c r="E110" s="21" t="s">
        <v>301</v>
      </c>
      <c r="F110" s="19" t="s">
        <v>302</v>
      </c>
      <c r="G110" s="21" t="s">
        <v>303</v>
      </c>
      <c r="H110" s="19" t="s">
        <v>61</v>
      </c>
      <c r="I110" s="22">
        <v>568</v>
      </c>
      <c r="J110" s="22">
        <v>732</v>
      </c>
      <c r="K110" s="22">
        <v>902</v>
      </c>
      <c r="L110" s="20">
        <v>1175.97</v>
      </c>
      <c r="M110" s="23" t="s">
        <v>62</v>
      </c>
      <c r="N110" s="24" t="s">
        <v>63</v>
      </c>
      <c r="O110" s="19" t="s">
        <v>276</v>
      </c>
    </row>
    <row r="111" spans="1:15" ht="18" customHeight="1" x14ac:dyDescent="0.35">
      <c r="A111" s="6">
        <v>13</v>
      </c>
      <c r="B111" s="29" t="s">
        <v>13</v>
      </c>
      <c r="C111" s="5"/>
      <c r="D111" s="5"/>
      <c r="E111" s="5" t="s">
        <v>305</v>
      </c>
      <c r="F111" s="6" t="s">
        <v>279</v>
      </c>
      <c r="G111" s="5" t="s">
        <v>280</v>
      </c>
      <c r="H111" s="6" t="s">
        <v>61</v>
      </c>
      <c r="I111" s="30">
        <v>576</v>
      </c>
      <c r="J111" s="30">
        <v>660</v>
      </c>
      <c r="K111" s="30">
        <v>781</v>
      </c>
      <c r="L111" s="29">
        <v>563.76</v>
      </c>
      <c r="M111" s="7" t="s">
        <v>145</v>
      </c>
      <c r="N111" s="31" t="s">
        <v>146</v>
      </c>
      <c r="O111" s="6" t="s">
        <v>13</v>
      </c>
    </row>
    <row r="112" spans="1:15" ht="18" customHeight="1" x14ac:dyDescent="0.35">
      <c r="A112" s="19">
        <v>14</v>
      </c>
      <c r="B112" s="20" t="s">
        <v>307</v>
      </c>
      <c r="C112" s="21"/>
      <c r="D112" s="21"/>
      <c r="E112" s="21" t="s">
        <v>305</v>
      </c>
      <c r="F112" s="19" t="s">
        <v>279</v>
      </c>
      <c r="G112" s="21" t="s">
        <v>280</v>
      </c>
      <c r="H112" s="19" t="s">
        <v>61</v>
      </c>
      <c r="I112" s="22">
        <v>576</v>
      </c>
      <c r="J112" s="22">
        <v>660</v>
      </c>
      <c r="K112" s="22">
        <v>781</v>
      </c>
      <c r="L112" s="20">
        <v>997.02</v>
      </c>
      <c r="M112" s="23" t="s">
        <v>62</v>
      </c>
      <c r="N112" s="24" t="s">
        <v>63</v>
      </c>
      <c r="O112" s="19" t="s">
        <v>276</v>
      </c>
    </row>
    <row r="113" spans="1:15" ht="12.75" customHeight="1" x14ac:dyDescent="0.35">
      <c r="A113" s="72" t="s">
        <v>308</v>
      </c>
      <c r="B113" s="72"/>
      <c r="C113" s="72"/>
      <c r="D113" s="72"/>
      <c r="E113" s="72"/>
      <c r="F113" s="72"/>
      <c r="G113" s="72"/>
      <c r="H113" s="72"/>
      <c r="I113" s="72"/>
      <c r="J113" s="72"/>
      <c r="K113" s="72"/>
      <c r="L113" s="72"/>
      <c r="M113" s="72"/>
      <c r="N113" s="72"/>
      <c r="O113" s="72"/>
    </row>
  </sheetData>
  <autoFilter ref="A4:O113" xr:uid="{00000000-0001-0000-0100-000000000000}"/>
  <mergeCells count="8">
    <mergeCell ref="A53:O53"/>
    <mergeCell ref="A98:O98"/>
    <mergeCell ref="A113:O113"/>
    <mergeCell ref="A1:O1"/>
    <mergeCell ref="A2:O2"/>
    <mergeCell ref="A5:O5"/>
    <mergeCell ref="A15:O15"/>
    <mergeCell ref="A39:O39"/>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21"/>
  <sheetViews>
    <sheetView zoomScaleNormal="100" workbookViewId="0">
      <pane ySplit="4" topLeftCell="A13" activePane="bottomLeft" state="frozen"/>
      <selection sqref="A1:O1"/>
      <selection pane="bottomLeft" activeCell="C6" sqref="C6:D20"/>
    </sheetView>
  </sheetViews>
  <sheetFormatPr defaultColWidth="8.6328125" defaultRowHeight="14.5" x14ac:dyDescent="0.35"/>
  <cols>
    <col min="1" max="1" width="4" customWidth="1"/>
    <col min="2" max="2" width="7" customWidth="1"/>
    <col min="3" max="3" width="24" customWidth="1"/>
    <col min="4" max="4" width="22" customWidth="1"/>
    <col min="5" max="5" width="24" customWidth="1"/>
    <col min="6" max="6" width="7" customWidth="1"/>
    <col min="7" max="7" width="24" customWidth="1"/>
    <col min="8" max="9" width="7" customWidth="1"/>
    <col min="10" max="10" width="8" customWidth="1"/>
    <col min="11" max="11" width="7" customWidth="1"/>
    <col min="12" max="12" width="8" customWidth="1"/>
    <col min="13" max="14" width="16" customWidth="1"/>
    <col min="15" max="15" width="8" customWidth="1"/>
  </cols>
  <sheetData>
    <row r="1" spans="1:15" ht="25.5" customHeight="1" x14ac:dyDescent="0.35">
      <c r="A1" s="73" t="s">
        <v>309</v>
      </c>
      <c r="B1" s="73"/>
      <c r="C1" s="73"/>
      <c r="D1" s="73"/>
      <c r="E1" s="73"/>
      <c r="F1" s="73"/>
      <c r="G1" s="73"/>
      <c r="H1" s="73"/>
      <c r="I1" s="73"/>
      <c r="J1" s="73"/>
      <c r="K1" s="73"/>
      <c r="L1" s="73"/>
      <c r="M1" s="73"/>
      <c r="N1" s="73"/>
      <c r="O1" s="73"/>
    </row>
    <row r="2" spans="1:15" ht="12.75" customHeight="1" x14ac:dyDescent="0.35">
      <c r="A2" s="74" t="s">
        <v>40</v>
      </c>
      <c r="B2" s="74"/>
      <c r="C2" s="74"/>
      <c r="D2" s="74"/>
      <c r="E2" s="74"/>
      <c r="F2" s="74"/>
      <c r="G2" s="74"/>
      <c r="H2" s="74"/>
      <c r="I2" s="74"/>
      <c r="J2" s="74"/>
      <c r="K2" s="74"/>
      <c r="L2" s="74"/>
      <c r="M2" s="74"/>
      <c r="N2" s="74"/>
      <c r="O2" s="74"/>
    </row>
    <row r="4" spans="1:15" ht="30" customHeight="1" x14ac:dyDescent="0.35">
      <c r="A4" s="1" t="s">
        <v>41</v>
      </c>
      <c r="B4" s="1" t="s">
        <v>42</v>
      </c>
      <c r="C4" s="1" t="s">
        <v>43</v>
      </c>
      <c r="D4" s="1" t="s">
        <v>44</v>
      </c>
      <c r="E4" s="1" t="s">
        <v>45</v>
      </c>
      <c r="F4" s="1" t="s">
        <v>46</v>
      </c>
      <c r="G4" s="1" t="s">
        <v>47</v>
      </c>
      <c r="H4" s="1" t="s">
        <v>48</v>
      </c>
      <c r="I4" s="1" t="s">
        <v>49</v>
      </c>
      <c r="J4" s="1" t="s">
        <v>50</v>
      </c>
      <c r="K4" s="1" t="s">
        <v>51</v>
      </c>
      <c r="L4" s="1" t="s">
        <v>52</v>
      </c>
      <c r="M4" s="1" t="s">
        <v>53</v>
      </c>
      <c r="N4" s="1" t="s">
        <v>54</v>
      </c>
      <c r="O4" s="1" t="s">
        <v>55</v>
      </c>
    </row>
    <row r="5" spans="1:15" ht="18" customHeight="1" x14ac:dyDescent="0.35">
      <c r="A5" s="83" t="s">
        <v>310</v>
      </c>
      <c r="B5" s="83"/>
      <c r="C5" s="83"/>
      <c r="D5" s="83"/>
      <c r="E5" s="83"/>
      <c r="F5" s="83"/>
      <c r="G5" s="83"/>
      <c r="H5" s="83"/>
      <c r="I5" s="83"/>
      <c r="J5" s="83"/>
      <c r="K5" s="83"/>
      <c r="L5" s="83"/>
      <c r="M5" s="83"/>
      <c r="N5" s="83"/>
      <c r="O5" s="83"/>
    </row>
    <row r="6" spans="1:15" ht="18" customHeight="1" x14ac:dyDescent="0.35">
      <c r="A6" s="19">
        <v>1</v>
      </c>
      <c r="B6" s="20" t="s">
        <v>311</v>
      </c>
      <c r="C6" s="21"/>
      <c r="D6" s="21"/>
      <c r="E6" s="21" t="s">
        <v>312</v>
      </c>
      <c r="F6" s="19" t="s">
        <v>313</v>
      </c>
      <c r="G6" s="21" t="s">
        <v>314</v>
      </c>
      <c r="H6" s="19" t="s">
        <v>186</v>
      </c>
      <c r="I6" s="22">
        <v>2407</v>
      </c>
      <c r="J6" s="22">
        <v>2966</v>
      </c>
      <c r="K6" s="22">
        <v>3500</v>
      </c>
      <c r="L6" s="20">
        <v>3681.3</v>
      </c>
      <c r="M6" s="23" t="s">
        <v>62</v>
      </c>
      <c r="N6" s="24" t="s">
        <v>63</v>
      </c>
      <c r="O6" s="19" t="s">
        <v>315</v>
      </c>
    </row>
    <row r="7" spans="1:15" ht="18" customHeight="1" x14ac:dyDescent="0.35">
      <c r="A7" s="19">
        <v>2</v>
      </c>
      <c r="B7" s="20" t="s">
        <v>316</v>
      </c>
      <c r="C7" s="21"/>
      <c r="D7" s="21"/>
      <c r="E7" s="21" t="s">
        <v>317</v>
      </c>
      <c r="F7" s="19" t="s">
        <v>318</v>
      </c>
      <c r="G7" s="21" t="s">
        <v>319</v>
      </c>
      <c r="H7" s="19" t="s">
        <v>186</v>
      </c>
      <c r="I7" s="22">
        <v>1432</v>
      </c>
      <c r="J7" s="22">
        <v>1846</v>
      </c>
      <c r="K7" s="22">
        <v>2200</v>
      </c>
      <c r="L7" s="20">
        <v>1968.47</v>
      </c>
      <c r="M7" s="23" t="s">
        <v>7</v>
      </c>
      <c r="N7" s="24" t="s">
        <v>320</v>
      </c>
      <c r="O7" s="19" t="s">
        <v>315</v>
      </c>
    </row>
    <row r="8" spans="1:15" ht="18" customHeight="1" x14ac:dyDescent="0.35">
      <c r="A8" s="19">
        <v>3</v>
      </c>
      <c r="B8" s="20" t="s">
        <v>321</v>
      </c>
      <c r="C8" s="21"/>
      <c r="D8" s="21"/>
      <c r="E8" s="21" t="s">
        <v>322</v>
      </c>
      <c r="F8" s="19" t="s">
        <v>323</v>
      </c>
      <c r="G8" s="21" t="s">
        <v>324</v>
      </c>
      <c r="H8" s="19" t="s">
        <v>186</v>
      </c>
      <c r="I8" s="22">
        <v>1643</v>
      </c>
      <c r="J8" s="22">
        <v>2117</v>
      </c>
      <c r="K8" s="22">
        <v>2500</v>
      </c>
      <c r="L8" s="20">
        <v>2505.33</v>
      </c>
      <c r="M8" s="23" t="s">
        <v>62</v>
      </c>
      <c r="N8" s="24" t="s">
        <v>63</v>
      </c>
      <c r="O8" s="19" t="s">
        <v>315</v>
      </c>
    </row>
    <row r="9" spans="1:15" ht="18" customHeight="1" x14ac:dyDescent="0.35">
      <c r="A9" s="19">
        <v>4</v>
      </c>
      <c r="B9" s="20" t="s">
        <v>325</v>
      </c>
      <c r="C9" s="21"/>
      <c r="D9" s="21"/>
      <c r="E9" s="21" t="s">
        <v>326</v>
      </c>
      <c r="F9" s="19" t="s">
        <v>327</v>
      </c>
      <c r="G9" s="21" t="s">
        <v>328</v>
      </c>
      <c r="H9" s="19" t="s">
        <v>186</v>
      </c>
      <c r="I9" s="22">
        <v>536</v>
      </c>
      <c r="J9" s="22">
        <v>690</v>
      </c>
      <c r="K9" s="22">
        <v>1100</v>
      </c>
      <c r="L9" s="20">
        <v>1508.31</v>
      </c>
      <c r="M9" s="23" t="s">
        <v>62</v>
      </c>
      <c r="N9" s="24" t="s">
        <v>63</v>
      </c>
      <c r="O9" s="19" t="s">
        <v>329</v>
      </c>
    </row>
    <row r="10" spans="1:15" ht="18" customHeight="1" x14ac:dyDescent="0.35">
      <c r="A10" s="19">
        <v>5</v>
      </c>
      <c r="B10" s="20" t="s">
        <v>330</v>
      </c>
      <c r="C10" s="21"/>
      <c r="D10" s="21"/>
      <c r="E10" s="21" t="s">
        <v>331</v>
      </c>
      <c r="F10" s="19" t="s">
        <v>332</v>
      </c>
      <c r="G10" s="21" t="s">
        <v>333</v>
      </c>
      <c r="H10" s="19" t="s">
        <v>186</v>
      </c>
      <c r="I10" s="22">
        <v>734</v>
      </c>
      <c r="J10" s="22">
        <v>946</v>
      </c>
      <c r="K10" s="22">
        <v>1250</v>
      </c>
      <c r="L10" s="20">
        <v>1227.0999999999999</v>
      </c>
      <c r="M10" s="23" t="s">
        <v>7</v>
      </c>
      <c r="N10" s="24" t="s">
        <v>95</v>
      </c>
      <c r="O10" s="19" t="s">
        <v>334</v>
      </c>
    </row>
    <row r="11" spans="1:15" ht="18" customHeight="1" x14ac:dyDescent="0.35">
      <c r="A11" s="19">
        <v>6</v>
      </c>
      <c r="B11" s="20" t="s">
        <v>335</v>
      </c>
      <c r="C11" s="21"/>
      <c r="D11" s="21"/>
      <c r="E11" s="21" t="s">
        <v>336</v>
      </c>
      <c r="F11" s="19" t="s">
        <v>337</v>
      </c>
      <c r="G11" s="21" t="s">
        <v>338</v>
      </c>
      <c r="H11" s="19" t="s">
        <v>186</v>
      </c>
      <c r="I11" s="22">
        <v>1262</v>
      </c>
      <c r="J11" s="22">
        <v>1626</v>
      </c>
      <c r="K11" s="22">
        <v>1900</v>
      </c>
      <c r="L11" s="20">
        <v>1687.26</v>
      </c>
      <c r="M11" s="23" t="s">
        <v>7</v>
      </c>
      <c r="N11" s="24" t="s">
        <v>121</v>
      </c>
      <c r="O11" s="19" t="s">
        <v>89</v>
      </c>
    </row>
    <row r="12" spans="1:15" ht="18" customHeight="1" x14ac:dyDescent="0.35">
      <c r="A12" s="19">
        <v>7</v>
      </c>
      <c r="B12" s="20" t="s">
        <v>339</v>
      </c>
      <c r="C12" s="21"/>
      <c r="D12" s="21"/>
      <c r="E12" s="21" t="s">
        <v>340</v>
      </c>
      <c r="F12" s="19" t="s">
        <v>341</v>
      </c>
      <c r="G12" s="21" t="s">
        <v>342</v>
      </c>
      <c r="H12" s="19" t="s">
        <v>186</v>
      </c>
      <c r="I12" s="22">
        <v>536</v>
      </c>
      <c r="J12" s="22">
        <v>690</v>
      </c>
      <c r="K12" s="22">
        <v>870</v>
      </c>
      <c r="L12" s="20">
        <v>869.2</v>
      </c>
      <c r="M12" s="23" t="s">
        <v>7</v>
      </c>
      <c r="N12" s="24" t="s">
        <v>63</v>
      </c>
      <c r="O12" s="19" t="s">
        <v>334</v>
      </c>
    </row>
    <row r="13" spans="1:15" ht="18" customHeight="1" x14ac:dyDescent="0.35">
      <c r="A13" s="19">
        <v>8</v>
      </c>
      <c r="B13" s="20" t="s">
        <v>343</v>
      </c>
      <c r="C13" s="21"/>
      <c r="D13" s="21"/>
      <c r="E13" s="21" t="s">
        <v>344</v>
      </c>
      <c r="F13" s="19" t="s">
        <v>345</v>
      </c>
      <c r="G13" s="21" t="s">
        <v>346</v>
      </c>
      <c r="H13" s="19" t="s">
        <v>186</v>
      </c>
      <c r="I13" s="22">
        <v>1444</v>
      </c>
      <c r="J13" s="22">
        <v>1861</v>
      </c>
      <c r="K13" s="22">
        <v>2200</v>
      </c>
      <c r="L13" s="20">
        <v>2147.4299999999998</v>
      </c>
      <c r="M13" s="23" t="s">
        <v>7</v>
      </c>
      <c r="N13" s="24" t="s">
        <v>347</v>
      </c>
      <c r="O13" s="19" t="s">
        <v>348</v>
      </c>
    </row>
    <row r="14" spans="1:15" ht="18" customHeight="1" x14ac:dyDescent="0.35">
      <c r="A14" s="19">
        <v>9</v>
      </c>
      <c r="B14" s="20" t="s">
        <v>349</v>
      </c>
      <c r="C14" s="21"/>
      <c r="D14" s="21"/>
      <c r="E14" s="21" t="s">
        <v>350</v>
      </c>
      <c r="F14" s="19" t="s">
        <v>351</v>
      </c>
      <c r="G14" s="21" t="s">
        <v>352</v>
      </c>
      <c r="H14" s="19" t="s">
        <v>186</v>
      </c>
      <c r="I14" s="22">
        <v>805</v>
      </c>
      <c r="J14" s="22">
        <v>1038</v>
      </c>
      <c r="K14" s="22">
        <v>1400</v>
      </c>
      <c r="L14" s="20">
        <v>1431.62</v>
      </c>
      <c r="M14" s="23" t="s">
        <v>62</v>
      </c>
      <c r="N14" s="24" t="s">
        <v>63</v>
      </c>
      <c r="O14" s="19" t="s">
        <v>353</v>
      </c>
    </row>
    <row r="15" spans="1:15" ht="18" customHeight="1" x14ac:dyDescent="0.35">
      <c r="A15" s="19">
        <v>10</v>
      </c>
      <c r="B15" s="20" t="s">
        <v>354</v>
      </c>
      <c r="C15" s="21"/>
      <c r="D15" s="21"/>
      <c r="E15" s="21" t="s">
        <v>355</v>
      </c>
      <c r="F15" s="19" t="s">
        <v>356</v>
      </c>
      <c r="G15" s="21" t="s">
        <v>357</v>
      </c>
      <c r="H15" s="19" t="s">
        <v>186</v>
      </c>
      <c r="I15" s="22">
        <v>960</v>
      </c>
      <c r="J15" s="22">
        <v>1237</v>
      </c>
      <c r="K15" s="22">
        <v>1500</v>
      </c>
      <c r="L15" s="20">
        <v>1278.23</v>
      </c>
      <c r="M15" s="23" t="s">
        <v>7</v>
      </c>
      <c r="N15" s="24" t="s">
        <v>194</v>
      </c>
      <c r="O15" s="19" t="s">
        <v>358</v>
      </c>
    </row>
    <row r="16" spans="1:15" ht="18" customHeight="1" x14ac:dyDescent="0.35">
      <c r="A16" s="19">
        <v>11</v>
      </c>
      <c r="B16" s="20" t="s">
        <v>359</v>
      </c>
      <c r="C16" s="21"/>
      <c r="D16" s="21"/>
      <c r="E16" s="21" t="s">
        <v>326</v>
      </c>
      <c r="F16" s="19" t="s">
        <v>327</v>
      </c>
      <c r="G16" s="21" t="s">
        <v>328</v>
      </c>
      <c r="H16" s="19" t="s">
        <v>186</v>
      </c>
      <c r="I16" s="22">
        <v>536</v>
      </c>
      <c r="J16" s="22">
        <v>690</v>
      </c>
      <c r="K16" s="22">
        <v>1100</v>
      </c>
      <c r="L16" s="20">
        <v>1574.78</v>
      </c>
      <c r="M16" s="23" t="s">
        <v>62</v>
      </c>
      <c r="N16" s="24" t="s">
        <v>63</v>
      </c>
      <c r="O16" s="19" t="s">
        <v>353</v>
      </c>
    </row>
    <row r="17" spans="1:15" ht="18" customHeight="1" x14ac:dyDescent="0.35">
      <c r="A17" s="19">
        <v>12</v>
      </c>
      <c r="B17" s="20" t="s">
        <v>360</v>
      </c>
      <c r="C17" s="21"/>
      <c r="D17" s="21"/>
      <c r="E17" s="21" t="s">
        <v>361</v>
      </c>
      <c r="F17" s="19" t="s">
        <v>362</v>
      </c>
      <c r="G17" s="21" t="s">
        <v>363</v>
      </c>
      <c r="H17" s="19" t="s">
        <v>186</v>
      </c>
      <c r="I17" s="22">
        <v>1327</v>
      </c>
      <c r="J17" s="22">
        <v>1710</v>
      </c>
      <c r="K17" s="22">
        <v>2000</v>
      </c>
      <c r="L17" s="20">
        <v>1789.66</v>
      </c>
      <c r="M17" s="23" t="s">
        <v>7</v>
      </c>
      <c r="N17" s="24" t="s">
        <v>286</v>
      </c>
      <c r="O17" s="19" t="s">
        <v>348</v>
      </c>
    </row>
    <row r="18" spans="1:15" ht="18" customHeight="1" x14ac:dyDescent="0.35">
      <c r="A18" s="19">
        <v>13</v>
      </c>
      <c r="B18" s="20" t="s">
        <v>364</v>
      </c>
      <c r="C18" s="21"/>
      <c r="D18" s="21"/>
      <c r="E18" s="21" t="s">
        <v>365</v>
      </c>
      <c r="F18" s="19" t="s">
        <v>366</v>
      </c>
      <c r="G18" s="21" t="s">
        <v>367</v>
      </c>
      <c r="H18" s="19" t="s">
        <v>186</v>
      </c>
      <c r="I18" s="22">
        <v>615</v>
      </c>
      <c r="J18" s="22">
        <v>793</v>
      </c>
      <c r="K18" s="22">
        <v>1176</v>
      </c>
      <c r="L18" s="20">
        <v>920.33</v>
      </c>
      <c r="M18" s="23" t="s">
        <v>7</v>
      </c>
      <c r="N18" s="24" t="s">
        <v>114</v>
      </c>
      <c r="O18" s="19" t="s">
        <v>353</v>
      </c>
    </row>
    <row r="19" spans="1:15" ht="18" customHeight="1" x14ac:dyDescent="0.35">
      <c r="A19" s="19">
        <v>14</v>
      </c>
      <c r="B19" s="20" t="s">
        <v>368</v>
      </c>
      <c r="C19" s="21"/>
      <c r="D19" s="21"/>
      <c r="E19" s="21" t="s">
        <v>365</v>
      </c>
      <c r="F19" s="19" t="s">
        <v>366</v>
      </c>
      <c r="G19" s="21" t="s">
        <v>367</v>
      </c>
      <c r="H19" s="19" t="s">
        <v>186</v>
      </c>
      <c r="I19" s="22">
        <v>615</v>
      </c>
      <c r="J19" s="22">
        <v>793</v>
      </c>
      <c r="K19" s="22">
        <v>1176</v>
      </c>
      <c r="L19" s="20">
        <v>1175.97</v>
      </c>
      <c r="M19" s="23" t="s">
        <v>7</v>
      </c>
      <c r="N19" s="24" t="s">
        <v>63</v>
      </c>
      <c r="O19" s="19" t="s">
        <v>353</v>
      </c>
    </row>
    <row r="20" spans="1:15" ht="18" customHeight="1" x14ac:dyDescent="0.35">
      <c r="A20" s="19">
        <v>15</v>
      </c>
      <c r="B20" s="20" t="s">
        <v>369</v>
      </c>
      <c r="C20" s="21"/>
      <c r="D20" s="21"/>
      <c r="E20" s="21" t="s">
        <v>370</v>
      </c>
      <c r="F20" s="19" t="s">
        <v>371</v>
      </c>
      <c r="G20" s="21" t="s">
        <v>372</v>
      </c>
      <c r="H20" s="19" t="s">
        <v>186</v>
      </c>
      <c r="I20" s="22">
        <v>624</v>
      </c>
      <c r="J20" s="22">
        <v>1200</v>
      </c>
      <c r="K20" s="22">
        <v>2100</v>
      </c>
      <c r="L20" s="20">
        <v>2045.17</v>
      </c>
      <c r="M20" s="23" t="s">
        <v>7</v>
      </c>
      <c r="N20" s="24" t="s">
        <v>95</v>
      </c>
      <c r="O20" s="19" t="s">
        <v>348</v>
      </c>
    </row>
    <row r="21" spans="1:15" ht="12.75" customHeight="1" x14ac:dyDescent="0.35">
      <c r="A21" s="72" t="s">
        <v>308</v>
      </c>
      <c r="B21" s="72"/>
      <c r="C21" s="72"/>
      <c r="D21" s="72"/>
      <c r="E21" s="72"/>
      <c r="F21" s="72"/>
      <c r="G21" s="72"/>
      <c r="H21" s="72"/>
      <c r="I21" s="72"/>
      <c r="J21" s="72"/>
      <c r="K21" s="72"/>
      <c r="L21" s="72"/>
      <c r="M21" s="72"/>
      <c r="N21" s="72"/>
      <c r="O21" s="72"/>
    </row>
  </sheetData>
  <mergeCells count="4">
    <mergeCell ref="A1:O1"/>
    <mergeCell ref="A2:O2"/>
    <mergeCell ref="A5:O5"/>
    <mergeCell ref="A21:O21"/>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2"/>
  <sheetViews>
    <sheetView zoomScaleNormal="100" workbookViewId="0">
      <pane ySplit="4" topLeftCell="A5" activePane="bottomLeft" state="frozen"/>
      <selection sqref="A1:O1"/>
      <selection pane="bottomLeft" activeCell="C6" sqref="C6:D11"/>
    </sheetView>
  </sheetViews>
  <sheetFormatPr defaultColWidth="8.6328125" defaultRowHeight="14.5" x14ac:dyDescent="0.35"/>
  <cols>
    <col min="1" max="1" width="4" customWidth="1"/>
    <col min="2" max="2" width="7" customWidth="1"/>
    <col min="3" max="3" width="24" customWidth="1"/>
    <col min="4" max="4" width="22" customWidth="1"/>
    <col min="5" max="5" width="24" customWidth="1"/>
    <col min="6" max="6" width="7" customWidth="1"/>
    <col min="7" max="7" width="24" customWidth="1"/>
    <col min="8" max="9" width="7" customWidth="1"/>
    <col min="10" max="10" width="8" customWidth="1"/>
    <col min="11" max="11" width="7" customWidth="1"/>
    <col min="12" max="12" width="8" customWidth="1"/>
    <col min="13" max="14" width="16" customWidth="1"/>
    <col min="15" max="15" width="8" customWidth="1"/>
  </cols>
  <sheetData>
    <row r="1" spans="1:15" ht="25.5" customHeight="1" x14ac:dyDescent="0.35">
      <c r="A1" s="84" t="s">
        <v>373</v>
      </c>
      <c r="B1" s="84"/>
      <c r="C1" s="84"/>
      <c r="D1" s="84"/>
      <c r="E1" s="84"/>
      <c r="F1" s="84"/>
      <c r="G1" s="84"/>
      <c r="H1" s="84"/>
      <c r="I1" s="84"/>
      <c r="J1" s="84"/>
      <c r="K1" s="84"/>
      <c r="L1" s="84"/>
      <c r="M1" s="84"/>
      <c r="N1" s="84"/>
      <c r="O1" s="84"/>
    </row>
    <row r="2" spans="1:15" ht="12.75" customHeight="1" x14ac:dyDescent="0.35">
      <c r="A2" s="74" t="s">
        <v>40</v>
      </c>
      <c r="B2" s="74"/>
      <c r="C2" s="74"/>
      <c r="D2" s="74"/>
      <c r="E2" s="74"/>
      <c r="F2" s="74"/>
      <c r="G2" s="74"/>
      <c r="H2" s="74"/>
      <c r="I2" s="74"/>
      <c r="J2" s="74"/>
      <c r="K2" s="74"/>
      <c r="L2" s="74"/>
      <c r="M2" s="74"/>
      <c r="N2" s="74"/>
      <c r="O2" s="74"/>
    </row>
    <row r="4" spans="1:15" ht="30" customHeight="1" x14ac:dyDescent="0.35">
      <c r="A4" s="1" t="s">
        <v>41</v>
      </c>
      <c r="B4" s="1" t="s">
        <v>42</v>
      </c>
      <c r="C4" s="1" t="s">
        <v>43</v>
      </c>
      <c r="D4" s="1" t="s">
        <v>44</v>
      </c>
      <c r="E4" s="1" t="s">
        <v>45</v>
      </c>
      <c r="F4" s="1" t="s">
        <v>46</v>
      </c>
      <c r="G4" s="1" t="s">
        <v>47</v>
      </c>
      <c r="H4" s="1" t="s">
        <v>48</v>
      </c>
      <c r="I4" s="1" t="s">
        <v>49</v>
      </c>
      <c r="J4" s="1" t="s">
        <v>50</v>
      </c>
      <c r="K4" s="1" t="s">
        <v>51</v>
      </c>
      <c r="L4" s="1" t="s">
        <v>52</v>
      </c>
      <c r="M4" s="1" t="s">
        <v>53</v>
      </c>
      <c r="N4" s="1" t="s">
        <v>54</v>
      </c>
      <c r="O4" s="1" t="s">
        <v>55</v>
      </c>
    </row>
    <row r="5" spans="1:15" ht="18" customHeight="1" x14ac:dyDescent="0.35">
      <c r="A5" s="85" t="s">
        <v>374</v>
      </c>
      <c r="B5" s="85"/>
      <c r="C5" s="85"/>
      <c r="D5" s="85"/>
      <c r="E5" s="85"/>
      <c r="F5" s="85"/>
      <c r="G5" s="85"/>
      <c r="H5" s="85"/>
      <c r="I5" s="85"/>
      <c r="J5" s="85"/>
      <c r="K5" s="85"/>
      <c r="L5" s="85"/>
      <c r="M5" s="85"/>
      <c r="N5" s="85"/>
      <c r="O5" s="85"/>
    </row>
    <row r="6" spans="1:15" ht="18" customHeight="1" x14ac:dyDescent="0.35">
      <c r="A6" s="19">
        <v>1</v>
      </c>
      <c r="B6" s="20" t="s">
        <v>375</v>
      </c>
      <c r="C6" s="21"/>
      <c r="D6" s="21"/>
      <c r="E6" s="21" t="s">
        <v>376</v>
      </c>
      <c r="F6" s="19" t="s">
        <v>377</v>
      </c>
      <c r="G6" s="21" t="s">
        <v>378</v>
      </c>
      <c r="H6" s="19" t="s">
        <v>186</v>
      </c>
      <c r="I6" s="22">
        <v>1832</v>
      </c>
      <c r="J6" s="22">
        <v>2326</v>
      </c>
      <c r="K6" s="22">
        <v>2700</v>
      </c>
      <c r="L6" s="20">
        <v>2556.46</v>
      </c>
      <c r="M6" s="23" t="s">
        <v>7</v>
      </c>
      <c r="N6" s="24" t="s">
        <v>379</v>
      </c>
      <c r="O6" s="19" t="s">
        <v>380</v>
      </c>
    </row>
    <row r="7" spans="1:15" ht="18" customHeight="1" x14ac:dyDescent="0.35">
      <c r="A7" s="19">
        <v>2</v>
      </c>
      <c r="B7" s="20" t="s">
        <v>381</v>
      </c>
      <c r="C7" s="21"/>
      <c r="D7" s="21"/>
      <c r="E7" s="21" t="s">
        <v>382</v>
      </c>
      <c r="F7" s="19" t="s">
        <v>383</v>
      </c>
      <c r="G7" s="21" t="s">
        <v>384</v>
      </c>
      <c r="H7" s="19" t="s">
        <v>186</v>
      </c>
      <c r="I7" s="22">
        <v>615</v>
      </c>
      <c r="J7" s="22">
        <v>793</v>
      </c>
      <c r="K7" s="22">
        <v>1023</v>
      </c>
      <c r="L7" s="20">
        <v>1022.58</v>
      </c>
      <c r="M7" s="23" t="s">
        <v>7</v>
      </c>
      <c r="N7" s="24" t="s">
        <v>63</v>
      </c>
      <c r="O7" s="19" t="s">
        <v>385</v>
      </c>
    </row>
    <row r="8" spans="1:15" ht="18" customHeight="1" x14ac:dyDescent="0.35">
      <c r="A8" s="19">
        <v>3</v>
      </c>
      <c r="B8" s="20" t="s">
        <v>386</v>
      </c>
      <c r="C8" s="21"/>
      <c r="D8" s="21"/>
      <c r="E8" s="21" t="s">
        <v>387</v>
      </c>
      <c r="F8" s="19" t="s">
        <v>388</v>
      </c>
      <c r="G8" s="21" t="s">
        <v>389</v>
      </c>
      <c r="H8" s="19" t="s">
        <v>186</v>
      </c>
      <c r="I8" s="22">
        <v>615</v>
      </c>
      <c r="J8" s="22">
        <v>793</v>
      </c>
      <c r="K8" s="22">
        <v>1125</v>
      </c>
      <c r="L8" s="20">
        <v>971.45</v>
      </c>
      <c r="M8" s="23" t="s">
        <v>7</v>
      </c>
      <c r="N8" s="24" t="s">
        <v>320</v>
      </c>
      <c r="O8" s="19" t="s">
        <v>385</v>
      </c>
    </row>
    <row r="9" spans="1:15" ht="18" customHeight="1" x14ac:dyDescent="0.35">
      <c r="A9" s="19">
        <v>4</v>
      </c>
      <c r="B9" s="20" t="s">
        <v>390</v>
      </c>
      <c r="C9" s="21"/>
      <c r="D9" s="21"/>
      <c r="E9" s="21" t="s">
        <v>391</v>
      </c>
      <c r="F9" s="19" t="s">
        <v>392</v>
      </c>
      <c r="G9" s="21" t="s">
        <v>393</v>
      </c>
      <c r="H9" s="19" t="s">
        <v>186</v>
      </c>
      <c r="I9" s="22">
        <v>682</v>
      </c>
      <c r="J9" s="22">
        <v>879</v>
      </c>
      <c r="K9" s="22">
        <v>1100</v>
      </c>
      <c r="L9" s="20">
        <v>910.1</v>
      </c>
      <c r="M9" s="23" t="s">
        <v>7</v>
      </c>
      <c r="N9" s="24" t="s">
        <v>172</v>
      </c>
      <c r="O9" s="19" t="s">
        <v>385</v>
      </c>
    </row>
    <row r="10" spans="1:15" ht="18" customHeight="1" x14ac:dyDescent="0.35">
      <c r="A10" s="19">
        <v>5</v>
      </c>
      <c r="B10" s="20" t="s">
        <v>394</v>
      </c>
      <c r="C10" s="21"/>
      <c r="D10" s="21"/>
      <c r="E10" s="21" t="s">
        <v>387</v>
      </c>
      <c r="F10" s="19" t="s">
        <v>388</v>
      </c>
      <c r="G10" s="21" t="s">
        <v>389</v>
      </c>
      <c r="H10" s="19" t="s">
        <v>186</v>
      </c>
      <c r="I10" s="22">
        <v>615</v>
      </c>
      <c r="J10" s="22">
        <v>793</v>
      </c>
      <c r="K10" s="22">
        <v>1125</v>
      </c>
      <c r="L10" s="20">
        <v>1124.8399999999999</v>
      </c>
      <c r="M10" s="23" t="s">
        <v>7</v>
      </c>
      <c r="N10" s="24" t="s">
        <v>63</v>
      </c>
      <c r="O10" s="19" t="s">
        <v>385</v>
      </c>
    </row>
    <row r="11" spans="1:15" ht="18" customHeight="1" x14ac:dyDescent="0.35">
      <c r="A11" s="19">
        <v>6</v>
      </c>
      <c r="B11" s="20" t="s">
        <v>395</v>
      </c>
      <c r="C11" s="21"/>
      <c r="D11" s="21"/>
      <c r="E11" s="21" t="s">
        <v>396</v>
      </c>
      <c r="F11" s="19" t="s">
        <v>397</v>
      </c>
      <c r="G11" s="21" t="s">
        <v>398</v>
      </c>
      <c r="H11" s="19" t="s">
        <v>186</v>
      </c>
      <c r="I11" s="22">
        <v>1474</v>
      </c>
      <c r="J11" s="22">
        <v>1900</v>
      </c>
      <c r="K11" s="22">
        <v>2200</v>
      </c>
      <c r="L11" s="20">
        <v>2000</v>
      </c>
      <c r="M11" s="23" t="s">
        <v>7</v>
      </c>
      <c r="N11" s="24" t="s">
        <v>399</v>
      </c>
      <c r="O11" s="19" t="s">
        <v>400</v>
      </c>
    </row>
    <row r="12" spans="1:15" ht="12.75" customHeight="1" x14ac:dyDescent="0.35">
      <c r="A12" s="72" t="s">
        <v>308</v>
      </c>
      <c r="B12" s="72"/>
      <c r="C12" s="72"/>
      <c r="D12" s="72"/>
      <c r="E12" s="72"/>
      <c r="F12" s="72"/>
      <c r="G12" s="72"/>
      <c r="H12" s="72"/>
      <c r="I12" s="72"/>
      <c r="J12" s="72"/>
      <c r="K12" s="72"/>
      <c r="L12" s="72"/>
      <c r="M12" s="72"/>
      <c r="N12" s="72"/>
      <c r="O12" s="72"/>
    </row>
  </sheetData>
  <mergeCells count="4">
    <mergeCell ref="A1:O1"/>
    <mergeCell ref="A2:O2"/>
    <mergeCell ref="A5:O5"/>
    <mergeCell ref="A12:O12"/>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37"/>
  <sheetViews>
    <sheetView zoomScaleNormal="100" workbookViewId="0">
      <pane ySplit="4" topLeftCell="A28" activePane="bottomLeft" state="frozen"/>
      <selection sqref="A1:O1"/>
      <selection pane="bottomLeft" activeCell="C16" sqref="C16:D36"/>
    </sheetView>
  </sheetViews>
  <sheetFormatPr defaultColWidth="8.6328125" defaultRowHeight="14.5" x14ac:dyDescent="0.35"/>
  <cols>
    <col min="1" max="1" width="4" customWidth="1"/>
    <col min="2" max="2" width="7" customWidth="1"/>
    <col min="3" max="3" width="24" customWidth="1"/>
    <col min="4" max="4" width="22" customWidth="1"/>
    <col min="5" max="5" width="24" customWidth="1"/>
    <col min="6" max="6" width="7" customWidth="1"/>
    <col min="7" max="7" width="24" customWidth="1"/>
    <col min="8" max="9" width="7" customWidth="1"/>
    <col min="10" max="10" width="8" customWidth="1"/>
    <col min="11" max="11" width="7" customWidth="1"/>
    <col min="12" max="12" width="8" customWidth="1"/>
    <col min="13" max="14" width="16" customWidth="1"/>
    <col min="15" max="15" width="8" customWidth="1"/>
  </cols>
  <sheetData>
    <row r="1" spans="1:15" ht="25.5" customHeight="1" x14ac:dyDescent="0.35">
      <c r="A1" s="73" t="s">
        <v>401</v>
      </c>
      <c r="B1" s="73"/>
      <c r="C1" s="73"/>
      <c r="D1" s="73"/>
      <c r="E1" s="73"/>
      <c r="F1" s="73"/>
      <c r="G1" s="73"/>
      <c r="H1" s="73"/>
      <c r="I1" s="73"/>
      <c r="J1" s="73"/>
      <c r="K1" s="73"/>
      <c r="L1" s="73"/>
      <c r="M1" s="73"/>
      <c r="N1" s="73"/>
      <c r="O1" s="73"/>
    </row>
    <row r="2" spans="1:15" ht="12.75" customHeight="1" x14ac:dyDescent="0.35">
      <c r="A2" s="74" t="s">
        <v>40</v>
      </c>
      <c r="B2" s="74"/>
      <c r="C2" s="74"/>
      <c r="D2" s="74"/>
      <c r="E2" s="74"/>
      <c r="F2" s="74"/>
      <c r="G2" s="74"/>
      <c r="H2" s="74"/>
      <c r="I2" s="74"/>
      <c r="J2" s="74"/>
      <c r="K2" s="74"/>
      <c r="L2" s="74"/>
      <c r="M2" s="74"/>
      <c r="N2" s="74"/>
      <c r="O2" s="74"/>
    </row>
    <row r="4" spans="1:15" ht="30" customHeight="1" x14ac:dyDescent="0.35">
      <c r="A4" s="1" t="s">
        <v>41</v>
      </c>
      <c r="B4" s="1" t="s">
        <v>42</v>
      </c>
      <c r="C4" s="1" t="s">
        <v>43</v>
      </c>
      <c r="D4" s="1" t="s">
        <v>44</v>
      </c>
      <c r="E4" s="1" t="s">
        <v>45</v>
      </c>
      <c r="F4" s="1" t="s">
        <v>46</v>
      </c>
      <c r="G4" s="1" t="s">
        <v>47</v>
      </c>
      <c r="H4" s="1" t="s">
        <v>48</v>
      </c>
      <c r="I4" s="1" t="s">
        <v>49</v>
      </c>
      <c r="J4" s="1" t="s">
        <v>50</v>
      </c>
      <c r="K4" s="1" t="s">
        <v>51</v>
      </c>
      <c r="L4" s="1" t="s">
        <v>52</v>
      </c>
      <c r="M4" s="1" t="s">
        <v>53</v>
      </c>
      <c r="N4" s="1" t="s">
        <v>54</v>
      </c>
      <c r="O4" s="1" t="s">
        <v>55</v>
      </c>
    </row>
    <row r="5" spans="1:15" ht="18" customHeight="1" x14ac:dyDescent="0.35">
      <c r="A5" s="75" t="s">
        <v>402</v>
      </c>
      <c r="B5" s="75"/>
      <c r="C5" s="75"/>
      <c r="D5" s="75"/>
      <c r="E5" s="75"/>
      <c r="F5" s="75"/>
      <c r="G5" s="75"/>
      <c r="H5" s="75"/>
      <c r="I5" s="75"/>
      <c r="J5" s="75"/>
      <c r="K5" s="75"/>
      <c r="L5" s="75"/>
      <c r="M5" s="75"/>
      <c r="N5" s="75"/>
      <c r="O5" s="75"/>
    </row>
    <row r="6" spans="1:15" ht="18" customHeight="1" x14ac:dyDescent="0.35">
      <c r="A6" s="19">
        <v>1</v>
      </c>
      <c r="B6" s="20" t="s">
        <v>403</v>
      </c>
      <c r="C6" s="21"/>
      <c r="D6" s="21"/>
      <c r="E6" s="21" t="s">
        <v>404</v>
      </c>
      <c r="F6" s="19" t="s">
        <v>405</v>
      </c>
      <c r="G6" s="21" t="s">
        <v>406</v>
      </c>
      <c r="H6" s="19" t="s">
        <v>186</v>
      </c>
      <c r="I6" s="22">
        <v>536</v>
      </c>
      <c r="J6" s="22">
        <v>690</v>
      </c>
      <c r="K6" s="22">
        <v>820</v>
      </c>
      <c r="L6" s="20">
        <v>971.45</v>
      </c>
      <c r="M6" s="23" t="s">
        <v>62</v>
      </c>
      <c r="N6" s="24" t="s">
        <v>63</v>
      </c>
      <c r="O6" s="19" t="s">
        <v>407</v>
      </c>
    </row>
    <row r="7" spans="1:15" ht="18" customHeight="1" x14ac:dyDescent="0.35">
      <c r="A7" s="19">
        <v>2</v>
      </c>
      <c r="B7" s="20" t="s">
        <v>408</v>
      </c>
      <c r="C7" s="21"/>
      <c r="D7" s="21"/>
      <c r="E7" s="21" t="s">
        <v>409</v>
      </c>
      <c r="F7" s="19" t="s">
        <v>410</v>
      </c>
      <c r="G7" s="21" t="s">
        <v>411</v>
      </c>
      <c r="H7" s="19" t="s">
        <v>186</v>
      </c>
      <c r="I7" s="22">
        <v>496</v>
      </c>
      <c r="J7" s="22">
        <v>639</v>
      </c>
      <c r="K7" s="22">
        <v>780</v>
      </c>
      <c r="L7" s="20">
        <v>818.07</v>
      </c>
      <c r="M7" s="23" t="s">
        <v>62</v>
      </c>
      <c r="N7" s="24" t="s">
        <v>63</v>
      </c>
      <c r="O7" s="19" t="s">
        <v>407</v>
      </c>
    </row>
    <row r="8" spans="1:15" ht="18" customHeight="1" x14ac:dyDescent="0.35">
      <c r="A8" s="19">
        <v>3</v>
      </c>
      <c r="B8" s="20" t="s">
        <v>13</v>
      </c>
      <c r="C8" s="21"/>
      <c r="D8" s="21"/>
      <c r="E8" s="21" t="s">
        <v>412</v>
      </c>
      <c r="F8" s="19" t="s">
        <v>413</v>
      </c>
      <c r="G8" s="21" t="s">
        <v>414</v>
      </c>
      <c r="H8" s="19" t="s">
        <v>186</v>
      </c>
      <c r="I8" s="22">
        <v>582</v>
      </c>
      <c r="J8" s="22">
        <v>792</v>
      </c>
      <c r="K8" s="22">
        <v>900</v>
      </c>
      <c r="L8" s="20">
        <v>869.2</v>
      </c>
      <c r="M8" s="23" t="s">
        <v>7</v>
      </c>
      <c r="N8" s="24" t="s">
        <v>415</v>
      </c>
      <c r="O8" s="19" t="s">
        <v>13</v>
      </c>
    </row>
    <row r="9" spans="1:15" ht="18" customHeight="1" x14ac:dyDescent="0.35">
      <c r="A9" s="10">
        <v>4</v>
      </c>
      <c r="B9" s="25" t="s">
        <v>416</v>
      </c>
      <c r="C9" s="9"/>
      <c r="D9" s="9"/>
      <c r="E9" s="9" t="s">
        <v>412</v>
      </c>
      <c r="F9" s="10" t="s">
        <v>413</v>
      </c>
      <c r="G9" s="9" t="s">
        <v>414</v>
      </c>
      <c r="H9" s="10" t="s">
        <v>186</v>
      </c>
      <c r="I9" s="26">
        <v>582</v>
      </c>
      <c r="J9" s="26">
        <v>792</v>
      </c>
      <c r="K9" s="26">
        <v>900</v>
      </c>
      <c r="L9" s="25">
        <v>780</v>
      </c>
      <c r="M9" s="27" t="s">
        <v>6</v>
      </c>
      <c r="N9" s="28" t="s">
        <v>417</v>
      </c>
      <c r="O9" s="10" t="s">
        <v>407</v>
      </c>
    </row>
    <row r="10" spans="1:15" ht="18" customHeight="1" x14ac:dyDescent="0.35">
      <c r="A10" s="75" t="s">
        <v>418</v>
      </c>
      <c r="B10" s="75"/>
      <c r="C10" s="75"/>
      <c r="D10" s="75"/>
      <c r="E10" s="75"/>
      <c r="F10" s="75"/>
      <c r="G10" s="75"/>
      <c r="H10" s="75"/>
      <c r="I10" s="75"/>
      <c r="J10" s="75"/>
      <c r="K10" s="75"/>
      <c r="L10" s="75"/>
      <c r="M10" s="75"/>
      <c r="N10" s="75"/>
      <c r="O10" s="75"/>
    </row>
    <row r="11" spans="1:15" ht="18" customHeight="1" x14ac:dyDescent="0.35">
      <c r="A11" s="19">
        <v>1</v>
      </c>
      <c r="B11" s="20" t="s">
        <v>419</v>
      </c>
      <c r="C11" s="21"/>
      <c r="D11" s="21"/>
      <c r="E11" s="21" t="s">
        <v>420</v>
      </c>
      <c r="F11" s="19" t="s">
        <v>421</v>
      </c>
      <c r="G11" s="21" t="s">
        <v>422</v>
      </c>
      <c r="H11" s="19" t="s">
        <v>186</v>
      </c>
      <c r="I11" s="22">
        <v>555</v>
      </c>
      <c r="J11" s="22">
        <v>716</v>
      </c>
      <c r="K11" s="22">
        <v>946</v>
      </c>
      <c r="L11" s="20">
        <v>945.89</v>
      </c>
      <c r="M11" s="23" t="s">
        <v>7</v>
      </c>
      <c r="N11" s="24" t="s">
        <v>63</v>
      </c>
      <c r="O11" s="19" t="s">
        <v>423</v>
      </c>
    </row>
    <row r="12" spans="1:15" ht="18" customHeight="1" x14ac:dyDescent="0.35">
      <c r="A12" s="19">
        <v>2</v>
      </c>
      <c r="B12" s="20" t="s">
        <v>424</v>
      </c>
      <c r="C12" s="21"/>
      <c r="D12" s="21"/>
      <c r="E12" s="21" t="s">
        <v>425</v>
      </c>
      <c r="F12" s="19" t="s">
        <v>426</v>
      </c>
      <c r="G12" s="21" t="s">
        <v>427</v>
      </c>
      <c r="H12" s="19" t="s">
        <v>186</v>
      </c>
      <c r="I12" s="22">
        <v>575</v>
      </c>
      <c r="J12" s="22">
        <v>741</v>
      </c>
      <c r="K12" s="22">
        <v>870</v>
      </c>
      <c r="L12" s="20">
        <v>869.2</v>
      </c>
      <c r="M12" s="23" t="s">
        <v>7</v>
      </c>
      <c r="N12" s="24" t="s">
        <v>63</v>
      </c>
      <c r="O12" s="19" t="s">
        <v>423</v>
      </c>
    </row>
    <row r="13" spans="1:15" ht="18" customHeight="1" x14ac:dyDescent="0.35">
      <c r="A13" s="76" t="s">
        <v>428</v>
      </c>
      <c r="B13" s="76"/>
      <c r="C13" s="76"/>
      <c r="D13" s="76"/>
      <c r="E13" s="76"/>
      <c r="F13" s="76"/>
      <c r="G13" s="76"/>
      <c r="H13" s="76"/>
      <c r="I13" s="76"/>
      <c r="J13" s="76"/>
      <c r="K13" s="76"/>
      <c r="L13" s="76"/>
      <c r="M13" s="76"/>
      <c r="N13" s="76"/>
      <c r="O13" s="76"/>
    </row>
    <row r="14" spans="1:15" ht="18" customHeight="1" x14ac:dyDescent="0.35">
      <c r="A14" s="19">
        <v>1</v>
      </c>
      <c r="B14" s="20" t="s">
        <v>429</v>
      </c>
      <c r="C14" s="21"/>
      <c r="D14" s="21"/>
      <c r="E14" s="21" t="s">
        <v>430</v>
      </c>
      <c r="F14" s="19" t="s">
        <v>431</v>
      </c>
      <c r="G14" s="21" t="s">
        <v>432</v>
      </c>
      <c r="H14" s="19" t="s">
        <v>186</v>
      </c>
      <c r="I14" s="22">
        <v>575</v>
      </c>
      <c r="J14" s="22">
        <v>741</v>
      </c>
      <c r="K14" s="22">
        <v>900</v>
      </c>
      <c r="L14" s="20">
        <v>869.2</v>
      </c>
      <c r="M14" s="23" t="s">
        <v>7</v>
      </c>
      <c r="N14" s="24" t="s">
        <v>433</v>
      </c>
      <c r="O14" s="19" t="s">
        <v>434</v>
      </c>
    </row>
    <row r="15" spans="1:15" ht="18" customHeight="1" x14ac:dyDescent="0.35">
      <c r="A15" s="71" t="s">
        <v>435</v>
      </c>
      <c r="B15" s="71"/>
      <c r="C15" s="71"/>
      <c r="D15" s="71"/>
      <c r="E15" s="71"/>
      <c r="F15" s="71"/>
      <c r="G15" s="71"/>
      <c r="H15" s="71"/>
      <c r="I15" s="71"/>
      <c r="J15" s="71"/>
      <c r="K15" s="71"/>
      <c r="L15" s="71"/>
      <c r="M15" s="71"/>
      <c r="N15" s="71"/>
      <c r="O15" s="71"/>
    </row>
    <row r="16" spans="1:15" ht="18" customHeight="1" x14ac:dyDescent="0.35">
      <c r="A16" s="19">
        <v>1</v>
      </c>
      <c r="B16" s="20" t="s">
        <v>436</v>
      </c>
      <c r="C16" s="21"/>
      <c r="D16" s="21"/>
      <c r="E16" s="21" t="s">
        <v>437</v>
      </c>
      <c r="F16" s="19" t="s">
        <v>438</v>
      </c>
      <c r="G16" s="21" t="s">
        <v>439</v>
      </c>
      <c r="H16" s="19" t="s">
        <v>186</v>
      </c>
      <c r="I16" s="22">
        <v>1740</v>
      </c>
      <c r="J16" s="22">
        <v>2224</v>
      </c>
      <c r="K16" s="22">
        <v>2800</v>
      </c>
      <c r="L16" s="20">
        <v>2965.49</v>
      </c>
      <c r="M16" s="23" t="s">
        <v>62</v>
      </c>
      <c r="N16" s="24" t="s">
        <v>63</v>
      </c>
      <c r="O16" s="19" t="s">
        <v>440</v>
      </c>
    </row>
    <row r="17" spans="1:15" ht="18" customHeight="1" x14ac:dyDescent="0.35">
      <c r="A17" s="19">
        <v>1</v>
      </c>
      <c r="B17" s="20" t="s">
        <v>441</v>
      </c>
      <c r="C17" s="21"/>
      <c r="D17" s="21"/>
      <c r="E17" s="21" t="s">
        <v>442</v>
      </c>
      <c r="F17" s="19" t="s">
        <v>443</v>
      </c>
      <c r="G17" s="21" t="s">
        <v>444</v>
      </c>
      <c r="H17" s="19" t="s">
        <v>186</v>
      </c>
      <c r="I17" s="22">
        <v>1627</v>
      </c>
      <c r="J17" s="22">
        <v>2096</v>
      </c>
      <c r="K17" s="22">
        <v>2500</v>
      </c>
      <c r="L17" s="20">
        <v>2198.56</v>
      </c>
      <c r="M17" s="23" t="s">
        <v>7</v>
      </c>
      <c r="N17" s="24" t="s">
        <v>75</v>
      </c>
      <c r="O17" s="19" t="s">
        <v>440</v>
      </c>
    </row>
    <row r="18" spans="1:15" ht="18" customHeight="1" x14ac:dyDescent="0.35">
      <c r="A18" s="19">
        <v>2</v>
      </c>
      <c r="B18" s="20" t="s">
        <v>445</v>
      </c>
      <c r="C18" s="21"/>
      <c r="D18" s="21"/>
      <c r="E18" s="21" t="s">
        <v>446</v>
      </c>
      <c r="F18" s="19" t="s">
        <v>447</v>
      </c>
      <c r="G18" s="21" t="s">
        <v>448</v>
      </c>
      <c r="H18" s="19" t="s">
        <v>186</v>
      </c>
      <c r="I18" s="22">
        <v>766</v>
      </c>
      <c r="J18" s="22">
        <v>987</v>
      </c>
      <c r="K18" s="22">
        <v>1200</v>
      </c>
      <c r="L18" s="20">
        <v>1022.58</v>
      </c>
      <c r="M18" s="23" t="s">
        <v>7</v>
      </c>
      <c r="N18" s="24" t="s">
        <v>194</v>
      </c>
      <c r="O18" s="19" t="s">
        <v>449</v>
      </c>
    </row>
    <row r="19" spans="1:15" ht="18" customHeight="1" x14ac:dyDescent="0.35">
      <c r="A19" s="19">
        <v>3</v>
      </c>
      <c r="B19" s="20" t="s">
        <v>450</v>
      </c>
      <c r="C19" s="21"/>
      <c r="D19" s="21"/>
      <c r="E19" s="21" t="s">
        <v>451</v>
      </c>
      <c r="F19" s="19" t="s">
        <v>452</v>
      </c>
      <c r="G19" s="21" t="s">
        <v>453</v>
      </c>
      <c r="H19" s="19" t="s">
        <v>186</v>
      </c>
      <c r="I19" s="22">
        <v>1111</v>
      </c>
      <c r="J19" s="22">
        <v>1432</v>
      </c>
      <c r="K19" s="22">
        <v>1700</v>
      </c>
      <c r="L19" s="20">
        <v>1482.75</v>
      </c>
      <c r="M19" s="23" t="s">
        <v>7</v>
      </c>
      <c r="N19" s="24" t="s">
        <v>454</v>
      </c>
      <c r="O19" s="19" t="s">
        <v>455</v>
      </c>
    </row>
    <row r="20" spans="1:15" ht="18" customHeight="1" x14ac:dyDescent="0.35">
      <c r="A20" s="19">
        <v>4</v>
      </c>
      <c r="B20" s="20" t="s">
        <v>456</v>
      </c>
      <c r="C20" s="21"/>
      <c r="D20" s="21"/>
      <c r="E20" s="21" t="s">
        <v>457</v>
      </c>
      <c r="F20" s="19" t="s">
        <v>458</v>
      </c>
      <c r="G20" s="21" t="s">
        <v>459</v>
      </c>
      <c r="H20" s="19" t="s">
        <v>186</v>
      </c>
      <c r="I20" s="22">
        <v>885</v>
      </c>
      <c r="J20" s="22">
        <v>1140</v>
      </c>
      <c r="K20" s="22">
        <v>1400</v>
      </c>
      <c r="L20" s="20">
        <v>1610.76</v>
      </c>
      <c r="M20" s="23" t="s">
        <v>62</v>
      </c>
      <c r="N20" s="24" t="s">
        <v>63</v>
      </c>
      <c r="O20" s="19" t="s">
        <v>455</v>
      </c>
    </row>
    <row r="21" spans="1:15" ht="18" customHeight="1" x14ac:dyDescent="0.35">
      <c r="A21" s="19">
        <v>5</v>
      </c>
      <c r="B21" s="20" t="s">
        <v>460</v>
      </c>
      <c r="C21" s="21"/>
      <c r="D21" s="21"/>
      <c r="E21" s="21" t="s">
        <v>461</v>
      </c>
      <c r="F21" s="19" t="s">
        <v>462</v>
      </c>
      <c r="G21" s="21" t="s">
        <v>463</v>
      </c>
      <c r="H21" s="19" t="s">
        <v>186</v>
      </c>
      <c r="I21" s="22">
        <v>873</v>
      </c>
      <c r="J21" s="22">
        <v>1125</v>
      </c>
      <c r="K21" s="22">
        <v>1300</v>
      </c>
      <c r="L21" s="20">
        <v>1175.97</v>
      </c>
      <c r="M21" s="23" t="s">
        <v>7</v>
      </c>
      <c r="N21" s="24" t="s">
        <v>464</v>
      </c>
      <c r="O21" s="19" t="s">
        <v>455</v>
      </c>
    </row>
    <row r="22" spans="1:15" ht="18" customHeight="1" x14ac:dyDescent="0.35">
      <c r="A22" s="19">
        <v>5</v>
      </c>
      <c r="B22" s="20" t="s">
        <v>13</v>
      </c>
      <c r="C22" s="21"/>
      <c r="D22" s="21"/>
      <c r="E22" s="21" t="s">
        <v>465</v>
      </c>
      <c r="F22" s="19" t="s">
        <v>466</v>
      </c>
      <c r="G22" s="21" t="s">
        <v>467</v>
      </c>
      <c r="H22" s="19" t="s">
        <v>186</v>
      </c>
      <c r="I22" s="22">
        <v>1111</v>
      </c>
      <c r="J22" s="22">
        <v>1432</v>
      </c>
      <c r="K22" s="22">
        <v>1700</v>
      </c>
      <c r="L22" s="20">
        <v>1482.75</v>
      </c>
      <c r="M22" s="23" t="s">
        <v>7</v>
      </c>
      <c r="N22" s="24" t="s">
        <v>454</v>
      </c>
      <c r="O22" s="19" t="s">
        <v>13</v>
      </c>
    </row>
    <row r="23" spans="1:15" ht="18" customHeight="1" x14ac:dyDescent="0.35">
      <c r="A23" s="19">
        <v>6</v>
      </c>
      <c r="B23" s="20" t="s">
        <v>468</v>
      </c>
      <c r="C23" s="21"/>
      <c r="D23" s="21"/>
      <c r="E23" s="21" t="s">
        <v>469</v>
      </c>
      <c r="F23" s="19" t="s">
        <v>470</v>
      </c>
      <c r="G23" s="21" t="s">
        <v>471</v>
      </c>
      <c r="H23" s="19" t="s">
        <v>186</v>
      </c>
      <c r="I23" s="22">
        <v>913</v>
      </c>
      <c r="J23" s="22">
        <v>1176</v>
      </c>
      <c r="K23" s="22">
        <v>1400</v>
      </c>
      <c r="L23" s="20">
        <v>1227.0999999999999</v>
      </c>
      <c r="M23" s="23" t="s">
        <v>7</v>
      </c>
      <c r="N23" s="24" t="s">
        <v>192</v>
      </c>
      <c r="O23" s="19" t="s">
        <v>472</v>
      </c>
    </row>
    <row r="24" spans="1:15" ht="18" customHeight="1" x14ac:dyDescent="0.35">
      <c r="A24" s="19">
        <v>7</v>
      </c>
      <c r="B24" s="20" t="s">
        <v>473</v>
      </c>
      <c r="C24" s="21"/>
      <c r="D24" s="21"/>
      <c r="E24" s="21" t="s">
        <v>474</v>
      </c>
      <c r="F24" s="19" t="s">
        <v>475</v>
      </c>
      <c r="G24" s="21" t="s">
        <v>476</v>
      </c>
      <c r="H24" s="19" t="s">
        <v>186</v>
      </c>
      <c r="I24" s="22">
        <v>881</v>
      </c>
      <c r="J24" s="22">
        <v>1135</v>
      </c>
      <c r="K24" s="22">
        <v>1600</v>
      </c>
      <c r="L24" s="20">
        <v>1585.49</v>
      </c>
      <c r="M24" s="23" t="s">
        <v>7</v>
      </c>
      <c r="N24" s="24" t="s">
        <v>477</v>
      </c>
      <c r="O24" s="19" t="s">
        <v>472</v>
      </c>
    </row>
    <row r="25" spans="1:15" ht="18" customHeight="1" x14ac:dyDescent="0.35">
      <c r="A25" s="19">
        <v>8</v>
      </c>
      <c r="B25" s="20" t="s">
        <v>478</v>
      </c>
      <c r="C25" s="21"/>
      <c r="D25" s="21"/>
      <c r="E25" s="21" t="s">
        <v>479</v>
      </c>
      <c r="F25" s="19" t="s">
        <v>480</v>
      </c>
      <c r="G25" s="21" t="s">
        <v>481</v>
      </c>
      <c r="H25" s="19" t="s">
        <v>186</v>
      </c>
      <c r="I25" s="22">
        <v>952</v>
      </c>
      <c r="J25" s="22">
        <v>1227</v>
      </c>
      <c r="K25" s="22">
        <v>1450</v>
      </c>
      <c r="L25" s="20">
        <v>1380.49</v>
      </c>
      <c r="M25" s="23" t="s">
        <v>7</v>
      </c>
      <c r="N25" s="24" t="s">
        <v>482</v>
      </c>
      <c r="O25" s="19" t="s">
        <v>423</v>
      </c>
    </row>
    <row r="26" spans="1:15" ht="18" customHeight="1" x14ac:dyDescent="0.35">
      <c r="A26" s="19">
        <v>9</v>
      </c>
      <c r="B26" s="20" t="s">
        <v>483</v>
      </c>
      <c r="C26" s="21"/>
      <c r="D26" s="21"/>
      <c r="E26" s="21" t="s">
        <v>484</v>
      </c>
      <c r="F26" s="19" t="s">
        <v>485</v>
      </c>
      <c r="G26" s="21" t="s">
        <v>486</v>
      </c>
      <c r="H26" s="19" t="s">
        <v>186</v>
      </c>
      <c r="I26" s="22">
        <v>556</v>
      </c>
      <c r="J26" s="22">
        <v>839</v>
      </c>
      <c r="K26" s="22">
        <v>1250</v>
      </c>
      <c r="L26" s="20">
        <v>997.02</v>
      </c>
      <c r="M26" s="23" t="s">
        <v>7</v>
      </c>
      <c r="N26" s="24" t="s">
        <v>192</v>
      </c>
      <c r="O26" s="19" t="s">
        <v>449</v>
      </c>
    </row>
    <row r="27" spans="1:15" ht="18" customHeight="1" x14ac:dyDescent="0.35">
      <c r="A27" s="19">
        <v>10</v>
      </c>
      <c r="B27" s="20" t="s">
        <v>487</v>
      </c>
      <c r="C27" s="21"/>
      <c r="D27" s="21"/>
      <c r="E27" s="21" t="s">
        <v>484</v>
      </c>
      <c r="F27" s="19" t="s">
        <v>485</v>
      </c>
      <c r="G27" s="21" t="s">
        <v>486</v>
      </c>
      <c r="H27" s="19" t="s">
        <v>186</v>
      </c>
      <c r="I27" s="22">
        <v>556</v>
      </c>
      <c r="J27" s="22">
        <v>839</v>
      </c>
      <c r="K27" s="22">
        <v>1250</v>
      </c>
      <c r="L27" s="20">
        <v>1227.58</v>
      </c>
      <c r="M27" s="23" t="s">
        <v>7</v>
      </c>
      <c r="N27" s="24" t="s">
        <v>248</v>
      </c>
      <c r="O27" s="19" t="s">
        <v>449</v>
      </c>
    </row>
    <row r="28" spans="1:15" ht="18" customHeight="1" x14ac:dyDescent="0.35">
      <c r="A28" s="19">
        <v>11</v>
      </c>
      <c r="B28" s="20" t="s">
        <v>488</v>
      </c>
      <c r="C28" s="21"/>
      <c r="D28" s="21"/>
      <c r="E28" s="21" t="s">
        <v>489</v>
      </c>
      <c r="F28" s="19" t="s">
        <v>490</v>
      </c>
      <c r="G28" s="21" t="s">
        <v>491</v>
      </c>
      <c r="H28" s="19" t="s">
        <v>186</v>
      </c>
      <c r="I28" s="22">
        <v>768</v>
      </c>
      <c r="J28" s="22">
        <v>989</v>
      </c>
      <c r="K28" s="22">
        <v>1200</v>
      </c>
      <c r="L28" s="20">
        <v>1124.8399999999999</v>
      </c>
      <c r="M28" s="23" t="s">
        <v>7</v>
      </c>
      <c r="N28" s="24" t="s">
        <v>119</v>
      </c>
      <c r="O28" s="19" t="s">
        <v>492</v>
      </c>
    </row>
    <row r="29" spans="1:15" ht="18" customHeight="1" x14ac:dyDescent="0.35">
      <c r="A29" s="10">
        <v>12</v>
      </c>
      <c r="B29" s="25" t="s">
        <v>13</v>
      </c>
      <c r="C29" s="9"/>
      <c r="D29" s="9"/>
      <c r="E29" s="9" t="s">
        <v>493</v>
      </c>
      <c r="F29" s="10" t="s">
        <v>494</v>
      </c>
      <c r="G29" s="9" t="s">
        <v>13</v>
      </c>
      <c r="H29" s="10" t="s">
        <v>13</v>
      </c>
      <c r="I29" s="26"/>
      <c r="J29" s="26"/>
      <c r="K29" s="26"/>
      <c r="L29" s="25">
        <v>1124.8399999999999</v>
      </c>
      <c r="M29" s="32" t="s">
        <v>13</v>
      </c>
      <c r="N29" s="33"/>
      <c r="O29" s="10" t="s">
        <v>13</v>
      </c>
    </row>
    <row r="30" spans="1:15" ht="18" customHeight="1" x14ac:dyDescent="0.35">
      <c r="A30" s="19">
        <v>13</v>
      </c>
      <c r="B30" s="20" t="s">
        <v>495</v>
      </c>
      <c r="C30" s="21"/>
      <c r="D30" s="21"/>
      <c r="E30" s="21" t="s">
        <v>496</v>
      </c>
      <c r="F30" s="19" t="s">
        <v>497</v>
      </c>
      <c r="G30" s="21" t="s">
        <v>498</v>
      </c>
      <c r="H30" s="19" t="s">
        <v>186</v>
      </c>
      <c r="I30" s="22">
        <v>629</v>
      </c>
      <c r="J30" s="22">
        <v>810</v>
      </c>
      <c r="K30" s="22">
        <v>1400</v>
      </c>
      <c r="L30" s="20">
        <v>1329.36</v>
      </c>
      <c r="M30" s="23" t="s">
        <v>7</v>
      </c>
      <c r="N30" s="24" t="s">
        <v>433</v>
      </c>
      <c r="O30" s="19" t="s">
        <v>499</v>
      </c>
    </row>
    <row r="31" spans="1:15" ht="18" customHeight="1" x14ac:dyDescent="0.35">
      <c r="A31" s="19">
        <v>14</v>
      </c>
      <c r="B31" s="20" t="s">
        <v>500</v>
      </c>
      <c r="C31" s="21"/>
      <c r="D31" s="21"/>
      <c r="E31" s="21" t="s">
        <v>501</v>
      </c>
      <c r="F31" s="19" t="s">
        <v>502</v>
      </c>
      <c r="G31" s="21" t="s">
        <v>503</v>
      </c>
      <c r="H31" s="19" t="s">
        <v>186</v>
      </c>
      <c r="I31" s="22">
        <v>767</v>
      </c>
      <c r="J31" s="22">
        <v>988</v>
      </c>
      <c r="K31" s="22">
        <v>1200</v>
      </c>
      <c r="L31" s="20">
        <v>1022.58</v>
      </c>
      <c r="M31" s="23" t="s">
        <v>7</v>
      </c>
      <c r="N31" s="24" t="s">
        <v>194</v>
      </c>
      <c r="O31" s="19" t="s">
        <v>499</v>
      </c>
    </row>
    <row r="32" spans="1:15" ht="18" customHeight="1" x14ac:dyDescent="0.35">
      <c r="A32" s="10">
        <v>15</v>
      </c>
      <c r="B32" s="25" t="s">
        <v>504</v>
      </c>
      <c r="C32" s="9"/>
      <c r="D32" s="9"/>
      <c r="E32" s="9" t="s">
        <v>505</v>
      </c>
      <c r="F32" s="10" t="s">
        <v>506</v>
      </c>
      <c r="G32" s="9" t="s">
        <v>507</v>
      </c>
      <c r="H32" s="10" t="s">
        <v>87</v>
      </c>
      <c r="I32" s="26">
        <v>523</v>
      </c>
      <c r="J32" s="26">
        <v>1192</v>
      </c>
      <c r="K32" s="26">
        <v>1365</v>
      </c>
      <c r="L32" s="25">
        <v>997.02</v>
      </c>
      <c r="M32" s="27" t="s">
        <v>6</v>
      </c>
      <c r="N32" s="28" t="s">
        <v>265</v>
      </c>
      <c r="O32" s="10" t="s">
        <v>508</v>
      </c>
    </row>
    <row r="33" spans="1:15" ht="18" customHeight="1" x14ac:dyDescent="0.35">
      <c r="A33" s="10">
        <v>16</v>
      </c>
      <c r="B33" s="25" t="s">
        <v>509</v>
      </c>
      <c r="C33" s="9"/>
      <c r="D33" s="9"/>
      <c r="E33" s="9" t="s">
        <v>510</v>
      </c>
      <c r="F33" s="10" t="s">
        <v>506</v>
      </c>
      <c r="G33" s="9" t="s">
        <v>507</v>
      </c>
      <c r="H33" s="10" t="s">
        <v>87</v>
      </c>
      <c r="I33" s="26">
        <v>523</v>
      </c>
      <c r="J33" s="26">
        <v>1192</v>
      </c>
      <c r="K33" s="26">
        <v>1365</v>
      </c>
      <c r="L33" s="25">
        <v>1175.97</v>
      </c>
      <c r="M33" s="27" t="s">
        <v>6</v>
      </c>
      <c r="N33" s="28" t="s">
        <v>511</v>
      </c>
      <c r="O33" s="10" t="s">
        <v>508</v>
      </c>
    </row>
    <row r="34" spans="1:15" ht="18" customHeight="1" x14ac:dyDescent="0.35">
      <c r="A34" s="10">
        <v>17</v>
      </c>
      <c r="B34" s="25" t="s">
        <v>512</v>
      </c>
      <c r="C34" s="9"/>
      <c r="D34" s="9"/>
      <c r="E34" s="9" t="s">
        <v>513</v>
      </c>
      <c r="F34" s="10" t="s">
        <v>514</v>
      </c>
      <c r="G34" s="9" t="s">
        <v>515</v>
      </c>
      <c r="H34" s="10" t="s">
        <v>87</v>
      </c>
      <c r="I34" s="26">
        <v>604</v>
      </c>
      <c r="J34" s="26">
        <v>778</v>
      </c>
      <c r="K34" s="26">
        <v>914</v>
      </c>
      <c r="L34" s="25">
        <v>766.94</v>
      </c>
      <c r="M34" s="27" t="s">
        <v>6</v>
      </c>
      <c r="N34" s="28" t="s">
        <v>161</v>
      </c>
      <c r="O34" s="10" t="s">
        <v>516</v>
      </c>
    </row>
    <row r="35" spans="1:15" ht="18" customHeight="1" x14ac:dyDescent="0.35">
      <c r="A35" s="6">
        <v>18</v>
      </c>
      <c r="B35" s="29" t="s">
        <v>517</v>
      </c>
      <c r="C35" s="5"/>
      <c r="D35" s="5"/>
      <c r="E35" s="5" t="s">
        <v>518</v>
      </c>
      <c r="F35" s="6" t="s">
        <v>519</v>
      </c>
      <c r="G35" s="5" t="s">
        <v>520</v>
      </c>
      <c r="H35" s="6" t="s">
        <v>186</v>
      </c>
      <c r="I35" s="30">
        <v>496</v>
      </c>
      <c r="J35" s="30">
        <v>640</v>
      </c>
      <c r="K35" s="30">
        <v>750</v>
      </c>
      <c r="L35" s="29">
        <v>495.94</v>
      </c>
      <c r="M35" s="7" t="s">
        <v>145</v>
      </c>
      <c r="N35" s="31" t="s">
        <v>146</v>
      </c>
      <c r="O35" s="6" t="s">
        <v>516</v>
      </c>
    </row>
    <row r="36" spans="1:15" ht="18" customHeight="1" x14ac:dyDescent="0.35">
      <c r="A36" s="19">
        <v>19</v>
      </c>
      <c r="B36" s="20" t="s">
        <v>521</v>
      </c>
      <c r="C36" s="21"/>
      <c r="D36" s="21"/>
      <c r="E36" s="21" t="s">
        <v>518</v>
      </c>
      <c r="F36" s="19" t="s">
        <v>519</v>
      </c>
      <c r="G36" s="21" t="s">
        <v>520</v>
      </c>
      <c r="H36" s="19" t="s">
        <v>186</v>
      </c>
      <c r="I36" s="22">
        <v>496</v>
      </c>
      <c r="J36" s="22">
        <v>640</v>
      </c>
      <c r="K36" s="22">
        <v>750</v>
      </c>
      <c r="L36" s="20">
        <v>690.24</v>
      </c>
      <c r="M36" s="23" t="s">
        <v>7</v>
      </c>
      <c r="N36" s="24" t="s">
        <v>522</v>
      </c>
      <c r="O36" s="19" t="s">
        <v>516</v>
      </c>
    </row>
    <row r="37" spans="1:15" ht="12.75" customHeight="1" x14ac:dyDescent="0.35">
      <c r="A37" s="72" t="s">
        <v>308</v>
      </c>
      <c r="B37" s="72"/>
      <c r="C37" s="72"/>
      <c r="D37" s="72"/>
      <c r="E37" s="72"/>
      <c r="F37" s="72"/>
      <c r="G37" s="72"/>
      <c r="H37" s="72"/>
      <c r="I37" s="72"/>
      <c r="J37" s="72"/>
      <c r="K37" s="72"/>
      <c r="L37" s="72"/>
      <c r="M37" s="72"/>
      <c r="N37" s="72"/>
      <c r="O37" s="72"/>
    </row>
  </sheetData>
  <mergeCells count="7">
    <mergeCell ref="A15:O15"/>
    <mergeCell ref="A37:O37"/>
    <mergeCell ref="A1:O1"/>
    <mergeCell ref="A2:O2"/>
    <mergeCell ref="A5:O5"/>
    <mergeCell ref="A10:O10"/>
    <mergeCell ref="A13:O1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96"/>
  <sheetViews>
    <sheetView zoomScaleNormal="100" workbookViewId="0">
      <pane ySplit="4" topLeftCell="A25" activePane="bottomLeft" state="frozen"/>
      <selection sqref="A1:O1"/>
      <selection pane="bottomLeft" sqref="A1:L1"/>
    </sheetView>
  </sheetViews>
  <sheetFormatPr defaultColWidth="8.6328125" defaultRowHeight="14.5" x14ac:dyDescent="0.35"/>
  <cols>
    <col min="1" max="1" width="10.81640625" bestFit="1" customWidth="1"/>
    <col min="2" max="2" width="11.81640625" bestFit="1" customWidth="1"/>
    <col min="3" max="3" width="7.54296875" bestFit="1" customWidth="1"/>
    <col min="4" max="4" width="49.90625" bestFit="1" customWidth="1"/>
    <col min="5" max="5" width="34.36328125" bestFit="1" customWidth="1"/>
    <col min="6" max="6" width="5.54296875" bestFit="1" customWidth="1"/>
    <col min="7" max="7" width="6.6328125" bestFit="1" customWidth="1"/>
    <col min="8" max="8" width="5.54296875" bestFit="1" customWidth="1"/>
    <col min="9" max="9" width="7" customWidth="1"/>
    <col min="10" max="10" width="4.08984375" bestFit="1" customWidth="1"/>
    <col min="11" max="11" width="11.6328125" bestFit="1" customWidth="1"/>
    <col min="12" max="12" width="75.90625" bestFit="1" customWidth="1"/>
  </cols>
  <sheetData>
    <row r="1" spans="1:12" ht="27.75" customHeight="1" x14ac:dyDescent="0.35">
      <c r="A1" s="77" t="s">
        <v>523</v>
      </c>
      <c r="B1" s="77"/>
      <c r="C1" s="77"/>
      <c r="D1" s="77"/>
      <c r="E1" s="77"/>
      <c r="F1" s="77"/>
      <c r="G1" s="77"/>
      <c r="H1" s="77"/>
      <c r="I1" s="77"/>
      <c r="J1" s="77"/>
      <c r="K1" s="77"/>
      <c r="L1" s="77"/>
    </row>
    <row r="2" spans="1:12" ht="12.75" customHeight="1" x14ac:dyDescent="0.35">
      <c r="A2" s="74" t="s">
        <v>524</v>
      </c>
      <c r="B2" s="74"/>
      <c r="C2" s="74"/>
      <c r="D2" s="74"/>
      <c r="E2" s="74"/>
      <c r="F2" s="74"/>
      <c r="G2" s="74"/>
      <c r="H2" s="74"/>
      <c r="I2" s="74"/>
      <c r="J2" s="74"/>
      <c r="K2" s="74"/>
      <c r="L2" s="74"/>
    </row>
    <row r="4" spans="1:12" ht="30" customHeight="1" x14ac:dyDescent="0.35">
      <c r="A4" s="1" t="s">
        <v>2</v>
      </c>
      <c r="B4" s="1" t="s">
        <v>525</v>
      </c>
      <c r="C4" s="1" t="s">
        <v>526</v>
      </c>
      <c r="D4" s="1" t="s">
        <v>527</v>
      </c>
      <c r="E4" s="1" t="s">
        <v>528</v>
      </c>
      <c r="F4" s="1" t="s">
        <v>49</v>
      </c>
      <c r="G4" s="1" t="s">
        <v>50</v>
      </c>
      <c r="H4" s="1" t="s">
        <v>51</v>
      </c>
      <c r="I4" s="1" t="s">
        <v>48</v>
      </c>
      <c r="J4" s="1" t="s">
        <v>529</v>
      </c>
      <c r="K4" s="1" t="s">
        <v>530</v>
      </c>
      <c r="L4" s="1" t="s">
        <v>531</v>
      </c>
    </row>
    <row r="5" spans="1:12" ht="18" customHeight="1" x14ac:dyDescent="0.35">
      <c r="A5" s="79" t="s">
        <v>532</v>
      </c>
      <c r="B5" s="79"/>
      <c r="C5" s="79"/>
      <c r="D5" s="79"/>
      <c r="E5" s="79"/>
      <c r="F5" s="79"/>
      <c r="G5" s="79"/>
      <c r="H5" s="79"/>
      <c r="I5" s="79"/>
      <c r="J5" s="79"/>
      <c r="K5" s="79"/>
      <c r="L5" s="79"/>
    </row>
    <row r="6" spans="1:12" ht="18" customHeight="1" x14ac:dyDescent="0.35">
      <c r="A6" s="10" t="s">
        <v>11</v>
      </c>
      <c r="B6" s="9" t="s">
        <v>22</v>
      </c>
      <c r="C6" s="25" t="s">
        <v>226</v>
      </c>
      <c r="D6" s="9" t="s">
        <v>533</v>
      </c>
      <c r="E6" s="9" t="s">
        <v>227</v>
      </c>
      <c r="F6" s="34">
        <v>496</v>
      </c>
      <c r="G6" s="25">
        <v>496</v>
      </c>
      <c r="H6" s="34">
        <v>560</v>
      </c>
      <c r="I6" s="10" t="s">
        <v>186</v>
      </c>
      <c r="J6" s="34" t="s">
        <v>13</v>
      </c>
      <c r="K6" s="34">
        <v>496</v>
      </c>
      <c r="L6" s="35" t="s">
        <v>534</v>
      </c>
    </row>
    <row r="7" spans="1:12" ht="18" customHeight="1" x14ac:dyDescent="0.35">
      <c r="A7" s="3" t="s">
        <v>11</v>
      </c>
      <c r="B7" s="2" t="s">
        <v>22</v>
      </c>
      <c r="C7" s="36" t="s">
        <v>221</v>
      </c>
      <c r="D7" s="2" t="s">
        <v>535</v>
      </c>
      <c r="E7" s="2" t="s">
        <v>222</v>
      </c>
      <c r="F7" s="37">
        <v>496</v>
      </c>
      <c r="G7" s="36">
        <v>600</v>
      </c>
      <c r="H7" s="37">
        <v>700</v>
      </c>
      <c r="I7" s="3" t="s">
        <v>186</v>
      </c>
      <c r="J7" s="37" t="s">
        <v>13</v>
      </c>
      <c r="K7" s="37">
        <v>600</v>
      </c>
      <c r="L7" s="2"/>
    </row>
    <row r="8" spans="1:12" ht="18" customHeight="1" x14ac:dyDescent="0.35">
      <c r="A8" s="38" t="s">
        <v>11</v>
      </c>
      <c r="B8" s="39" t="s">
        <v>22</v>
      </c>
      <c r="C8" s="40" t="s">
        <v>256</v>
      </c>
      <c r="D8" s="39" t="s">
        <v>536</v>
      </c>
      <c r="E8" s="39" t="s">
        <v>257</v>
      </c>
      <c r="F8" s="41">
        <v>496</v>
      </c>
      <c r="G8" s="40">
        <v>639</v>
      </c>
      <c r="H8" s="41">
        <v>750</v>
      </c>
      <c r="I8" s="38" t="s">
        <v>186</v>
      </c>
      <c r="J8" s="41" t="s">
        <v>13</v>
      </c>
      <c r="K8" s="41">
        <v>639</v>
      </c>
      <c r="L8" s="39"/>
    </row>
    <row r="9" spans="1:12" ht="18" customHeight="1" x14ac:dyDescent="0.35">
      <c r="A9" s="10" t="s">
        <v>11</v>
      </c>
      <c r="B9" s="9" t="s">
        <v>22</v>
      </c>
      <c r="C9" s="25" t="s">
        <v>210</v>
      </c>
      <c r="D9" s="9" t="s">
        <v>537</v>
      </c>
      <c r="E9" s="9" t="s">
        <v>211</v>
      </c>
      <c r="F9" s="34">
        <v>536</v>
      </c>
      <c r="G9" s="25">
        <v>650</v>
      </c>
      <c r="H9" s="34">
        <v>750</v>
      </c>
      <c r="I9" s="10" t="s">
        <v>186</v>
      </c>
      <c r="J9" s="34" t="s">
        <v>13</v>
      </c>
      <c r="K9" s="34">
        <v>650</v>
      </c>
      <c r="L9" s="35" t="s">
        <v>538</v>
      </c>
    </row>
    <row r="10" spans="1:12" ht="18" customHeight="1" x14ac:dyDescent="0.35">
      <c r="A10" s="10" t="s">
        <v>11</v>
      </c>
      <c r="B10" s="9" t="s">
        <v>22</v>
      </c>
      <c r="C10" s="25" t="s">
        <v>539</v>
      </c>
      <c r="D10" s="9" t="s">
        <v>540</v>
      </c>
      <c r="E10" s="9" t="s">
        <v>541</v>
      </c>
      <c r="F10" s="34">
        <v>600</v>
      </c>
      <c r="G10" s="25">
        <v>716</v>
      </c>
      <c r="H10" s="34">
        <v>870</v>
      </c>
      <c r="I10" s="10" t="s">
        <v>186</v>
      </c>
      <c r="J10" s="34" t="s">
        <v>13</v>
      </c>
      <c r="K10" s="34">
        <v>716</v>
      </c>
      <c r="L10" s="35" t="s">
        <v>542</v>
      </c>
    </row>
    <row r="11" spans="1:12" ht="18" customHeight="1" x14ac:dyDescent="0.35">
      <c r="A11" s="10" t="s">
        <v>11</v>
      </c>
      <c r="B11" s="9" t="s">
        <v>22</v>
      </c>
      <c r="C11" s="25" t="s">
        <v>205</v>
      </c>
      <c r="D11" s="9" t="s">
        <v>543</v>
      </c>
      <c r="E11" s="9" t="s">
        <v>206</v>
      </c>
      <c r="F11" s="34">
        <v>797</v>
      </c>
      <c r="G11" s="25">
        <v>1028</v>
      </c>
      <c r="H11" s="34">
        <v>1350</v>
      </c>
      <c r="I11" s="10" t="s">
        <v>186</v>
      </c>
      <c r="J11" s="34" t="s">
        <v>13</v>
      </c>
      <c r="K11" s="34">
        <v>1028</v>
      </c>
      <c r="L11" s="35" t="s">
        <v>544</v>
      </c>
    </row>
    <row r="12" spans="1:12" ht="18" customHeight="1" x14ac:dyDescent="0.35">
      <c r="A12" s="10" t="s">
        <v>11</v>
      </c>
      <c r="B12" s="9" t="s">
        <v>22</v>
      </c>
      <c r="C12" s="25" t="s">
        <v>199</v>
      </c>
      <c r="D12" s="9" t="s">
        <v>545</v>
      </c>
      <c r="E12" s="9" t="s">
        <v>200</v>
      </c>
      <c r="F12" s="34">
        <v>736</v>
      </c>
      <c r="G12" s="25">
        <v>948</v>
      </c>
      <c r="H12" s="34">
        <v>1500</v>
      </c>
      <c r="I12" s="10" t="s">
        <v>186</v>
      </c>
      <c r="J12" s="34" t="s">
        <v>13</v>
      </c>
      <c r="K12" s="34">
        <v>948</v>
      </c>
      <c r="L12" s="35" t="s">
        <v>546</v>
      </c>
    </row>
    <row r="13" spans="1:12" ht="18" customHeight="1" x14ac:dyDescent="0.35">
      <c r="A13" s="81" t="s">
        <v>547</v>
      </c>
      <c r="B13" s="81"/>
      <c r="C13" s="81"/>
      <c r="D13" s="81"/>
      <c r="E13" s="81"/>
      <c r="F13" s="81"/>
      <c r="G13" s="81"/>
      <c r="H13" s="81"/>
      <c r="I13" s="81"/>
      <c r="J13" s="81"/>
      <c r="K13" s="81"/>
      <c r="L13" s="81"/>
    </row>
    <row r="14" spans="1:12" ht="18" customHeight="1" x14ac:dyDescent="0.35">
      <c r="A14" s="10" t="s">
        <v>11</v>
      </c>
      <c r="B14" s="9" t="s">
        <v>548</v>
      </c>
      <c r="C14" s="25" t="s">
        <v>73</v>
      </c>
      <c r="D14" s="9" t="s">
        <v>549</v>
      </c>
      <c r="E14" s="9" t="s">
        <v>74</v>
      </c>
      <c r="F14" s="34">
        <v>632</v>
      </c>
      <c r="G14" s="25">
        <v>825</v>
      </c>
      <c r="H14" s="34">
        <v>957</v>
      </c>
      <c r="I14" s="10" t="s">
        <v>61</v>
      </c>
      <c r="J14" s="34">
        <v>75</v>
      </c>
      <c r="K14" s="34">
        <v>825</v>
      </c>
      <c r="L14" s="35" t="s">
        <v>538</v>
      </c>
    </row>
    <row r="15" spans="1:12" ht="18" customHeight="1" x14ac:dyDescent="0.35">
      <c r="A15" s="10" t="s">
        <v>11</v>
      </c>
      <c r="B15" s="9" t="s">
        <v>548</v>
      </c>
      <c r="C15" s="25" t="s">
        <v>67</v>
      </c>
      <c r="D15" s="9" t="s">
        <v>550</v>
      </c>
      <c r="E15" s="9" t="s">
        <v>68</v>
      </c>
      <c r="F15" s="34">
        <v>546</v>
      </c>
      <c r="G15" s="25">
        <v>923</v>
      </c>
      <c r="H15" s="34">
        <v>1078</v>
      </c>
      <c r="I15" s="10" t="s">
        <v>61</v>
      </c>
      <c r="J15" s="34">
        <v>84</v>
      </c>
      <c r="K15" s="34">
        <v>923</v>
      </c>
      <c r="L15" s="35" t="s">
        <v>542</v>
      </c>
    </row>
    <row r="16" spans="1:12" ht="18" customHeight="1" x14ac:dyDescent="0.35">
      <c r="A16" s="38" t="s">
        <v>11</v>
      </c>
      <c r="B16" s="39" t="s">
        <v>548</v>
      </c>
      <c r="C16" s="40" t="s">
        <v>59</v>
      </c>
      <c r="D16" s="39" t="s">
        <v>545</v>
      </c>
      <c r="E16" s="39" t="s">
        <v>60</v>
      </c>
      <c r="F16" s="41">
        <v>610</v>
      </c>
      <c r="G16" s="40">
        <v>788</v>
      </c>
      <c r="H16" s="41">
        <v>957</v>
      </c>
      <c r="I16" s="38" t="s">
        <v>61</v>
      </c>
      <c r="J16" s="41">
        <v>72</v>
      </c>
      <c r="K16" s="41">
        <v>788</v>
      </c>
      <c r="L16" s="39"/>
    </row>
    <row r="17" spans="1:12" ht="18" customHeight="1" x14ac:dyDescent="0.35">
      <c r="A17" s="80" t="s">
        <v>551</v>
      </c>
      <c r="B17" s="80"/>
      <c r="C17" s="80"/>
      <c r="D17" s="80"/>
      <c r="E17" s="80"/>
      <c r="F17" s="80"/>
      <c r="G17" s="80"/>
      <c r="H17" s="80"/>
      <c r="I17" s="80"/>
      <c r="J17" s="80"/>
      <c r="K17" s="80"/>
      <c r="L17" s="80"/>
    </row>
    <row r="18" spans="1:12" ht="18" customHeight="1" x14ac:dyDescent="0.35">
      <c r="A18" s="38" t="s">
        <v>11</v>
      </c>
      <c r="B18" s="39" t="s">
        <v>24</v>
      </c>
      <c r="C18" s="40" t="s">
        <v>284</v>
      </c>
      <c r="D18" s="39" t="s">
        <v>552</v>
      </c>
      <c r="E18" s="39" t="s">
        <v>285</v>
      </c>
      <c r="F18" s="41">
        <v>576</v>
      </c>
      <c r="G18" s="40">
        <v>743</v>
      </c>
      <c r="H18" s="41">
        <v>1041</v>
      </c>
      <c r="I18" s="38" t="s">
        <v>61</v>
      </c>
      <c r="J18" s="41">
        <v>68</v>
      </c>
      <c r="K18" s="41">
        <v>743</v>
      </c>
      <c r="L18" s="39"/>
    </row>
    <row r="19" spans="1:12" ht="18" customHeight="1" x14ac:dyDescent="0.35">
      <c r="A19" s="10" t="s">
        <v>11</v>
      </c>
      <c r="B19" s="9" t="s">
        <v>24</v>
      </c>
      <c r="C19" s="25" t="s">
        <v>279</v>
      </c>
      <c r="D19" s="9" t="s">
        <v>553</v>
      </c>
      <c r="E19" s="9" t="s">
        <v>280</v>
      </c>
      <c r="F19" s="34">
        <v>576</v>
      </c>
      <c r="G19" s="25">
        <v>660</v>
      </c>
      <c r="H19" s="34">
        <v>781</v>
      </c>
      <c r="I19" s="10" t="s">
        <v>61</v>
      </c>
      <c r="J19" s="34">
        <v>60</v>
      </c>
      <c r="K19" s="34">
        <v>660</v>
      </c>
      <c r="L19" s="35" t="s">
        <v>538</v>
      </c>
    </row>
    <row r="20" spans="1:12" ht="18" customHeight="1" x14ac:dyDescent="0.35">
      <c r="A20" s="10" t="s">
        <v>11</v>
      </c>
      <c r="B20" s="9" t="s">
        <v>24</v>
      </c>
      <c r="C20" s="25" t="s">
        <v>554</v>
      </c>
      <c r="D20" s="9" t="s">
        <v>555</v>
      </c>
      <c r="E20" s="9" t="s">
        <v>556</v>
      </c>
      <c r="F20" s="34">
        <v>627</v>
      </c>
      <c r="G20" s="25">
        <v>743</v>
      </c>
      <c r="H20" s="34">
        <v>902</v>
      </c>
      <c r="I20" s="10" t="s">
        <v>61</v>
      </c>
      <c r="J20" s="34">
        <v>68</v>
      </c>
      <c r="K20" s="34">
        <v>743</v>
      </c>
      <c r="L20" s="35" t="s">
        <v>542</v>
      </c>
    </row>
    <row r="21" spans="1:12" ht="18" customHeight="1" x14ac:dyDescent="0.35">
      <c r="A21" s="3" t="s">
        <v>11</v>
      </c>
      <c r="B21" s="2" t="s">
        <v>24</v>
      </c>
      <c r="C21" s="36" t="s">
        <v>294</v>
      </c>
      <c r="D21" s="2" t="s">
        <v>557</v>
      </c>
      <c r="E21" s="2" t="s">
        <v>295</v>
      </c>
      <c r="F21" s="37">
        <v>770</v>
      </c>
      <c r="G21" s="36">
        <v>1086</v>
      </c>
      <c r="H21" s="37">
        <v>1265</v>
      </c>
      <c r="I21" s="3" t="s">
        <v>61</v>
      </c>
      <c r="J21" s="37">
        <v>99</v>
      </c>
      <c r="K21" s="37">
        <v>1086</v>
      </c>
      <c r="L21" s="2"/>
    </row>
    <row r="22" spans="1:12" ht="18" customHeight="1" x14ac:dyDescent="0.35">
      <c r="A22" s="10" t="s">
        <v>11</v>
      </c>
      <c r="B22" s="9" t="s">
        <v>24</v>
      </c>
      <c r="C22" s="25" t="s">
        <v>302</v>
      </c>
      <c r="D22" s="9" t="s">
        <v>558</v>
      </c>
      <c r="E22" s="9" t="s">
        <v>303</v>
      </c>
      <c r="F22" s="34">
        <v>568</v>
      </c>
      <c r="G22" s="25">
        <v>732</v>
      </c>
      <c r="H22" s="34">
        <v>902</v>
      </c>
      <c r="I22" s="10" t="s">
        <v>61</v>
      </c>
      <c r="J22" s="34">
        <v>67</v>
      </c>
      <c r="K22" s="34">
        <v>732</v>
      </c>
      <c r="L22" s="35" t="s">
        <v>559</v>
      </c>
    </row>
    <row r="23" spans="1:12" ht="18" customHeight="1" x14ac:dyDescent="0.35">
      <c r="A23" s="3" t="s">
        <v>11</v>
      </c>
      <c r="B23" s="2" t="s">
        <v>24</v>
      </c>
      <c r="C23" s="36" t="s">
        <v>271</v>
      </c>
      <c r="D23" s="2" t="s">
        <v>560</v>
      </c>
      <c r="E23" s="2" t="s">
        <v>272</v>
      </c>
      <c r="F23" s="37">
        <v>1460</v>
      </c>
      <c r="G23" s="36">
        <v>1881</v>
      </c>
      <c r="H23" s="37">
        <v>2200</v>
      </c>
      <c r="I23" s="3" t="s">
        <v>61</v>
      </c>
      <c r="J23" s="37">
        <v>171</v>
      </c>
      <c r="K23" s="37">
        <v>1881</v>
      </c>
      <c r="L23" s="2"/>
    </row>
    <row r="24" spans="1:12" ht="18" customHeight="1" x14ac:dyDescent="0.35">
      <c r="A24" s="90" t="s">
        <v>561</v>
      </c>
      <c r="B24" s="90"/>
      <c r="C24" s="90"/>
      <c r="D24" s="90"/>
      <c r="E24" s="90"/>
      <c r="F24" s="90"/>
      <c r="G24" s="90"/>
      <c r="H24" s="90"/>
      <c r="I24" s="90"/>
      <c r="J24" s="90"/>
      <c r="K24" s="90"/>
      <c r="L24" s="90"/>
    </row>
    <row r="25" spans="1:12" ht="18" customHeight="1" x14ac:dyDescent="0.35">
      <c r="A25" s="10" t="s">
        <v>11</v>
      </c>
      <c r="B25" s="9" t="s">
        <v>562</v>
      </c>
      <c r="C25" s="25" t="s">
        <v>92</v>
      </c>
      <c r="D25" s="9" t="s">
        <v>563</v>
      </c>
      <c r="E25" s="9" t="s">
        <v>93</v>
      </c>
      <c r="F25" s="34">
        <v>521</v>
      </c>
      <c r="G25" s="25">
        <v>598</v>
      </c>
      <c r="H25" s="34">
        <v>724</v>
      </c>
      <c r="I25" s="10" t="s">
        <v>87</v>
      </c>
      <c r="J25" s="34">
        <v>28</v>
      </c>
      <c r="K25" s="34">
        <v>598</v>
      </c>
      <c r="L25" s="35" t="s">
        <v>538</v>
      </c>
    </row>
    <row r="26" spans="1:12" ht="18" customHeight="1" x14ac:dyDescent="0.35">
      <c r="A26" s="10" t="s">
        <v>11</v>
      </c>
      <c r="B26" s="9" t="s">
        <v>562</v>
      </c>
      <c r="C26" s="25" t="s">
        <v>564</v>
      </c>
      <c r="D26" s="9" t="s">
        <v>565</v>
      </c>
      <c r="E26" s="9" t="s">
        <v>566</v>
      </c>
      <c r="F26" s="34">
        <v>567</v>
      </c>
      <c r="G26" s="25">
        <v>672</v>
      </c>
      <c r="H26" s="34">
        <v>819</v>
      </c>
      <c r="I26" s="10" t="s">
        <v>87</v>
      </c>
      <c r="J26" s="34">
        <v>32</v>
      </c>
      <c r="K26" s="34">
        <v>672</v>
      </c>
      <c r="L26" s="35" t="s">
        <v>542</v>
      </c>
    </row>
    <row r="27" spans="1:12" ht="18" customHeight="1" x14ac:dyDescent="0.35">
      <c r="A27" s="3" t="s">
        <v>11</v>
      </c>
      <c r="B27" s="2" t="s">
        <v>562</v>
      </c>
      <c r="C27" s="36" t="s">
        <v>85</v>
      </c>
      <c r="D27" s="2" t="s">
        <v>567</v>
      </c>
      <c r="E27" s="2" t="s">
        <v>86</v>
      </c>
      <c r="F27" s="37">
        <v>966</v>
      </c>
      <c r="G27" s="36">
        <v>1245</v>
      </c>
      <c r="H27" s="37">
        <v>1418</v>
      </c>
      <c r="I27" s="3" t="s">
        <v>87</v>
      </c>
      <c r="J27" s="37">
        <v>59</v>
      </c>
      <c r="K27" s="37">
        <v>1245</v>
      </c>
      <c r="L27" s="2"/>
    </row>
    <row r="28" spans="1:12" ht="18" customHeight="1" x14ac:dyDescent="0.35">
      <c r="A28" s="82" t="s">
        <v>568</v>
      </c>
      <c r="B28" s="82"/>
      <c r="C28" s="82"/>
      <c r="D28" s="82"/>
      <c r="E28" s="82"/>
      <c r="F28" s="82"/>
      <c r="G28" s="82"/>
      <c r="H28" s="82"/>
      <c r="I28" s="82"/>
      <c r="J28" s="82"/>
      <c r="K28" s="82"/>
      <c r="L28" s="82"/>
    </row>
    <row r="29" spans="1:12" ht="18" customHeight="1" x14ac:dyDescent="0.35">
      <c r="A29" s="3" t="s">
        <v>11</v>
      </c>
      <c r="B29" s="2" t="s">
        <v>16</v>
      </c>
      <c r="C29" s="36" t="s">
        <v>139</v>
      </c>
      <c r="D29" s="2" t="s">
        <v>569</v>
      </c>
      <c r="E29" s="2" t="s">
        <v>140</v>
      </c>
      <c r="F29" s="37">
        <v>604</v>
      </c>
      <c r="G29" s="36">
        <v>751</v>
      </c>
      <c r="H29" s="37">
        <v>872</v>
      </c>
      <c r="I29" s="3" t="s">
        <v>87</v>
      </c>
      <c r="J29" s="37">
        <v>36</v>
      </c>
      <c r="K29" s="37">
        <v>751</v>
      </c>
      <c r="L29" s="2"/>
    </row>
    <row r="30" spans="1:12" ht="18" customHeight="1" x14ac:dyDescent="0.35">
      <c r="A30" s="10" t="s">
        <v>11</v>
      </c>
      <c r="B30" s="9" t="s">
        <v>16</v>
      </c>
      <c r="C30" s="25" t="s">
        <v>108</v>
      </c>
      <c r="D30" s="9" t="s">
        <v>570</v>
      </c>
      <c r="E30" s="9" t="s">
        <v>109</v>
      </c>
      <c r="F30" s="34">
        <v>604</v>
      </c>
      <c r="G30" s="25">
        <v>735</v>
      </c>
      <c r="H30" s="34">
        <v>861</v>
      </c>
      <c r="I30" s="10" t="s">
        <v>87</v>
      </c>
      <c r="J30" s="34">
        <v>35</v>
      </c>
      <c r="K30" s="34">
        <v>735</v>
      </c>
      <c r="L30" s="35" t="s">
        <v>538</v>
      </c>
    </row>
    <row r="31" spans="1:12" ht="18" customHeight="1" x14ac:dyDescent="0.35">
      <c r="A31" s="10" t="s">
        <v>11</v>
      </c>
      <c r="B31" s="9" t="s">
        <v>16</v>
      </c>
      <c r="C31" s="25" t="s">
        <v>571</v>
      </c>
      <c r="D31" s="9" t="s">
        <v>572</v>
      </c>
      <c r="E31" s="9" t="s">
        <v>573</v>
      </c>
      <c r="F31" s="34">
        <v>651</v>
      </c>
      <c r="G31" s="25">
        <v>831</v>
      </c>
      <c r="H31" s="34">
        <v>966</v>
      </c>
      <c r="I31" s="10" t="s">
        <v>87</v>
      </c>
      <c r="J31" s="34">
        <v>40</v>
      </c>
      <c r="K31" s="34">
        <v>831</v>
      </c>
      <c r="L31" s="35" t="s">
        <v>542</v>
      </c>
    </row>
    <row r="32" spans="1:12" ht="18" customHeight="1" x14ac:dyDescent="0.35">
      <c r="A32" s="38" t="s">
        <v>11</v>
      </c>
      <c r="B32" s="39" t="s">
        <v>16</v>
      </c>
      <c r="C32" s="40" t="s">
        <v>112</v>
      </c>
      <c r="D32" s="39" t="s">
        <v>574</v>
      </c>
      <c r="E32" s="39" t="s">
        <v>113</v>
      </c>
      <c r="F32" s="41">
        <v>804</v>
      </c>
      <c r="G32" s="40">
        <v>1036</v>
      </c>
      <c r="H32" s="41">
        <v>1208</v>
      </c>
      <c r="I32" s="38" t="s">
        <v>87</v>
      </c>
      <c r="J32" s="41">
        <v>49</v>
      </c>
      <c r="K32" s="41">
        <v>1036</v>
      </c>
      <c r="L32" s="39"/>
    </row>
    <row r="33" spans="1:12" ht="18" customHeight="1" x14ac:dyDescent="0.35">
      <c r="A33" s="3" t="s">
        <v>11</v>
      </c>
      <c r="B33" s="2" t="s">
        <v>16</v>
      </c>
      <c r="C33" s="36" t="s">
        <v>132</v>
      </c>
      <c r="D33" s="2" t="s">
        <v>575</v>
      </c>
      <c r="E33" s="2" t="s">
        <v>133</v>
      </c>
      <c r="F33" s="37">
        <v>804</v>
      </c>
      <c r="G33" s="36">
        <v>1036</v>
      </c>
      <c r="H33" s="37">
        <v>1260</v>
      </c>
      <c r="I33" s="3" t="s">
        <v>87</v>
      </c>
      <c r="J33" s="37">
        <v>49</v>
      </c>
      <c r="K33" s="37">
        <v>1036</v>
      </c>
      <c r="L33" s="2"/>
    </row>
    <row r="34" spans="1:12" ht="18" customHeight="1" x14ac:dyDescent="0.35">
      <c r="A34" s="38" t="s">
        <v>11</v>
      </c>
      <c r="B34" s="39" t="s">
        <v>16</v>
      </c>
      <c r="C34" s="40" t="s">
        <v>102</v>
      </c>
      <c r="D34" s="39" t="s">
        <v>576</v>
      </c>
      <c r="E34" s="39" t="s">
        <v>103</v>
      </c>
      <c r="F34" s="41">
        <v>1125</v>
      </c>
      <c r="G34" s="40">
        <v>1449</v>
      </c>
      <c r="H34" s="41">
        <v>1680</v>
      </c>
      <c r="I34" s="38" t="s">
        <v>87</v>
      </c>
      <c r="J34" s="41">
        <v>69</v>
      </c>
      <c r="K34" s="41">
        <v>1449</v>
      </c>
      <c r="L34" s="39"/>
    </row>
    <row r="35" spans="1:12" ht="18" customHeight="1" x14ac:dyDescent="0.35">
      <c r="A35" s="76" t="s">
        <v>577</v>
      </c>
      <c r="B35" s="76"/>
      <c r="C35" s="76"/>
      <c r="D35" s="76"/>
      <c r="E35" s="76"/>
      <c r="F35" s="76"/>
      <c r="G35" s="76"/>
      <c r="H35" s="76"/>
      <c r="I35" s="76"/>
      <c r="J35" s="76"/>
      <c r="K35" s="76"/>
      <c r="L35" s="76"/>
    </row>
    <row r="36" spans="1:12" ht="18" customHeight="1" x14ac:dyDescent="0.35">
      <c r="A36" s="38" t="s">
        <v>11</v>
      </c>
      <c r="B36" s="39" t="s">
        <v>578</v>
      </c>
      <c r="C36" s="40" t="s">
        <v>514</v>
      </c>
      <c r="D36" s="39" t="s">
        <v>579</v>
      </c>
      <c r="E36" s="39" t="s">
        <v>515</v>
      </c>
      <c r="F36" s="41">
        <v>604</v>
      </c>
      <c r="G36" s="40">
        <v>778</v>
      </c>
      <c r="H36" s="41">
        <v>914</v>
      </c>
      <c r="I36" s="38" t="s">
        <v>87</v>
      </c>
      <c r="J36" s="41">
        <v>37</v>
      </c>
      <c r="K36" s="41">
        <v>778</v>
      </c>
      <c r="L36" s="39"/>
    </row>
    <row r="37" spans="1:12" ht="18" customHeight="1" x14ac:dyDescent="0.35">
      <c r="A37" s="10" t="s">
        <v>11</v>
      </c>
      <c r="B37" s="9" t="s">
        <v>578</v>
      </c>
      <c r="C37" s="25" t="s">
        <v>506</v>
      </c>
      <c r="D37" s="9" t="s">
        <v>580</v>
      </c>
      <c r="E37" s="9" t="s">
        <v>507</v>
      </c>
      <c r="F37" s="34">
        <v>523</v>
      </c>
      <c r="G37" s="25">
        <v>1192</v>
      </c>
      <c r="H37" s="34">
        <v>1365</v>
      </c>
      <c r="I37" s="10" t="s">
        <v>87</v>
      </c>
      <c r="J37" s="34">
        <v>57</v>
      </c>
      <c r="K37" s="34">
        <v>1192</v>
      </c>
      <c r="L37" s="35" t="s">
        <v>581</v>
      </c>
    </row>
    <row r="38" spans="1:12" ht="18" customHeight="1" x14ac:dyDescent="0.35">
      <c r="A38" s="10" t="s">
        <v>11</v>
      </c>
      <c r="B38" s="9" t="s">
        <v>578</v>
      </c>
      <c r="C38" s="25" t="s">
        <v>176</v>
      </c>
      <c r="D38" s="9" t="s">
        <v>582</v>
      </c>
      <c r="E38" s="9" t="s">
        <v>177</v>
      </c>
      <c r="F38" s="34">
        <v>583</v>
      </c>
      <c r="G38" s="25">
        <v>752</v>
      </c>
      <c r="H38" s="34">
        <v>945</v>
      </c>
      <c r="I38" s="10" t="s">
        <v>87</v>
      </c>
      <c r="J38" s="34">
        <v>36</v>
      </c>
      <c r="K38" s="34">
        <v>752</v>
      </c>
      <c r="L38" s="35" t="s">
        <v>583</v>
      </c>
    </row>
    <row r="39" spans="1:12" ht="18" customHeight="1" x14ac:dyDescent="0.35">
      <c r="A39" s="83" t="s">
        <v>584</v>
      </c>
      <c r="B39" s="83"/>
      <c r="C39" s="83"/>
      <c r="D39" s="83"/>
      <c r="E39" s="83"/>
      <c r="F39" s="83"/>
      <c r="G39" s="83"/>
      <c r="H39" s="83"/>
      <c r="I39" s="83"/>
      <c r="J39" s="83"/>
      <c r="K39" s="83"/>
      <c r="L39" s="83"/>
    </row>
    <row r="40" spans="1:12" ht="18" customHeight="1" x14ac:dyDescent="0.35">
      <c r="A40" s="13" t="s">
        <v>26</v>
      </c>
      <c r="B40" s="12" t="s">
        <v>19</v>
      </c>
      <c r="C40" s="42" t="s">
        <v>164</v>
      </c>
      <c r="D40" s="12" t="s">
        <v>585</v>
      </c>
      <c r="E40" s="12" t="s">
        <v>165</v>
      </c>
      <c r="F40" s="43">
        <v>583</v>
      </c>
      <c r="G40" s="42">
        <v>983</v>
      </c>
      <c r="H40" s="43">
        <v>1155</v>
      </c>
      <c r="I40" s="13" t="s">
        <v>87</v>
      </c>
      <c r="J40" s="43">
        <v>47</v>
      </c>
      <c r="K40" s="43">
        <v>983</v>
      </c>
      <c r="L40" s="12"/>
    </row>
    <row r="41" spans="1:12" ht="18" customHeight="1" x14ac:dyDescent="0.35">
      <c r="A41" s="3" t="s">
        <v>26</v>
      </c>
      <c r="B41" s="2" t="s">
        <v>19</v>
      </c>
      <c r="C41" s="36" t="s">
        <v>159</v>
      </c>
      <c r="D41" s="2" t="s">
        <v>586</v>
      </c>
      <c r="E41" s="2" t="s">
        <v>160</v>
      </c>
      <c r="F41" s="37">
        <v>766</v>
      </c>
      <c r="G41" s="36">
        <v>988</v>
      </c>
      <c r="H41" s="37">
        <v>1155</v>
      </c>
      <c r="I41" s="3" t="s">
        <v>87</v>
      </c>
      <c r="J41" s="37">
        <v>47</v>
      </c>
      <c r="K41" s="37">
        <v>988</v>
      </c>
      <c r="L41" s="2"/>
    </row>
    <row r="42" spans="1:12" ht="18" customHeight="1" x14ac:dyDescent="0.35">
      <c r="A42" s="13" t="s">
        <v>26</v>
      </c>
      <c r="B42" s="12" t="s">
        <v>19</v>
      </c>
      <c r="C42" s="42" t="s">
        <v>190</v>
      </c>
      <c r="D42" s="12" t="s">
        <v>587</v>
      </c>
      <c r="E42" s="12" t="s">
        <v>191</v>
      </c>
      <c r="F42" s="43">
        <v>746</v>
      </c>
      <c r="G42" s="42">
        <v>989</v>
      </c>
      <c r="H42" s="43">
        <v>1825</v>
      </c>
      <c r="I42" s="13" t="s">
        <v>87</v>
      </c>
      <c r="J42" s="43">
        <v>47</v>
      </c>
      <c r="K42" s="43">
        <v>989</v>
      </c>
      <c r="L42" s="12"/>
    </row>
    <row r="43" spans="1:12" ht="18" customHeight="1" x14ac:dyDescent="0.35">
      <c r="A43" s="3" t="s">
        <v>26</v>
      </c>
      <c r="B43" s="2" t="s">
        <v>19</v>
      </c>
      <c r="C43" s="36" t="s">
        <v>184</v>
      </c>
      <c r="D43" s="2" t="s">
        <v>588</v>
      </c>
      <c r="E43" s="2" t="s">
        <v>185</v>
      </c>
      <c r="F43" s="37">
        <v>1071</v>
      </c>
      <c r="G43" s="36">
        <v>1380</v>
      </c>
      <c r="H43" s="37">
        <v>1600</v>
      </c>
      <c r="I43" s="3" t="s">
        <v>186</v>
      </c>
      <c r="J43" s="37" t="s">
        <v>13</v>
      </c>
      <c r="K43" s="37">
        <v>1380</v>
      </c>
      <c r="L43" s="2"/>
    </row>
    <row r="44" spans="1:12" ht="18" customHeight="1" x14ac:dyDescent="0.35">
      <c r="A44" s="83" t="s">
        <v>589</v>
      </c>
      <c r="B44" s="83"/>
      <c r="C44" s="83"/>
      <c r="D44" s="83"/>
      <c r="E44" s="83"/>
      <c r="F44" s="83"/>
      <c r="G44" s="83"/>
      <c r="H44" s="83"/>
      <c r="I44" s="83"/>
      <c r="J44" s="83"/>
      <c r="K44" s="83"/>
      <c r="L44" s="83"/>
    </row>
    <row r="45" spans="1:12" ht="18" customHeight="1" x14ac:dyDescent="0.35">
      <c r="A45" s="3" t="s">
        <v>26</v>
      </c>
      <c r="B45" s="2" t="s">
        <v>590</v>
      </c>
      <c r="C45" s="36" t="s">
        <v>341</v>
      </c>
      <c r="D45" s="2" t="s">
        <v>591</v>
      </c>
      <c r="E45" s="2" t="s">
        <v>342</v>
      </c>
      <c r="F45" s="37">
        <v>536</v>
      </c>
      <c r="G45" s="36">
        <v>690</v>
      </c>
      <c r="H45" s="37">
        <v>870</v>
      </c>
      <c r="I45" s="3" t="s">
        <v>186</v>
      </c>
      <c r="J45" s="37" t="s">
        <v>13</v>
      </c>
      <c r="K45" s="37">
        <v>690</v>
      </c>
      <c r="L45" s="2"/>
    </row>
    <row r="46" spans="1:12" ht="18" customHeight="1" x14ac:dyDescent="0.35">
      <c r="A46" s="13" t="s">
        <v>26</v>
      </c>
      <c r="B46" s="12" t="s">
        <v>590</v>
      </c>
      <c r="C46" s="42" t="s">
        <v>323</v>
      </c>
      <c r="D46" s="12" t="s">
        <v>592</v>
      </c>
      <c r="E46" s="12" t="s">
        <v>324</v>
      </c>
      <c r="F46" s="43">
        <v>1643</v>
      </c>
      <c r="G46" s="42">
        <v>2117</v>
      </c>
      <c r="H46" s="43">
        <v>2500</v>
      </c>
      <c r="I46" s="13" t="s">
        <v>186</v>
      </c>
      <c r="J46" s="43" t="s">
        <v>13</v>
      </c>
      <c r="K46" s="43">
        <v>2117</v>
      </c>
      <c r="L46" s="12"/>
    </row>
    <row r="47" spans="1:12" ht="18" customHeight="1" x14ac:dyDescent="0.35">
      <c r="A47" s="3" t="s">
        <v>26</v>
      </c>
      <c r="B47" s="2" t="s">
        <v>590</v>
      </c>
      <c r="C47" s="36" t="s">
        <v>345</v>
      </c>
      <c r="D47" s="2" t="s">
        <v>593</v>
      </c>
      <c r="E47" s="2" t="s">
        <v>346</v>
      </c>
      <c r="F47" s="37">
        <v>1444</v>
      </c>
      <c r="G47" s="36">
        <v>1861</v>
      </c>
      <c r="H47" s="37">
        <v>2200</v>
      </c>
      <c r="I47" s="3" t="s">
        <v>186</v>
      </c>
      <c r="J47" s="37" t="s">
        <v>13</v>
      </c>
      <c r="K47" s="37">
        <v>1861</v>
      </c>
      <c r="L47" s="2"/>
    </row>
    <row r="48" spans="1:12" ht="18" customHeight="1" x14ac:dyDescent="0.35">
      <c r="A48" s="13" t="s">
        <v>26</v>
      </c>
      <c r="B48" s="12" t="s">
        <v>590</v>
      </c>
      <c r="C48" s="42" t="s">
        <v>366</v>
      </c>
      <c r="D48" s="12" t="s">
        <v>594</v>
      </c>
      <c r="E48" s="12" t="s">
        <v>367</v>
      </c>
      <c r="F48" s="43">
        <v>615</v>
      </c>
      <c r="G48" s="42">
        <v>793</v>
      </c>
      <c r="H48" s="43">
        <v>1176</v>
      </c>
      <c r="I48" s="13" t="s">
        <v>186</v>
      </c>
      <c r="J48" s="43" t="s">
        <v>13</v>
      </c>
      <c r="K48" s="43">
        <v>793</v>
      </c>
      <c r="L48" s="12"/>
    </row>
    <row r="49" spans="1:12" ht="18" customHeight="1" x14ac:dyDescent="0.35">
      <c r="A49" s="3" t="s">
        <v>26</v>
      </c>
      <c r="B49" s="2" t="s">
        <v>590</v>
      </c>
      <c r="C49" s="36" t="s">
        <v>332</v>
      </c>
      <c r="D49" s="2" t="s">
        <v>595</v>
      </c>
      <c r="E49" s="2" t="s">
        <v>333</v>
      </c>
      <c r="F49" s="37">
        <v>734</v>
      </c>
      <c r="G49" s="36">
        <v>946</v>
      </c>
      <c r="H49" s="37">
        <v>1250</v>
      </c>
      <c r="I49" s="3" t="s">
        <v>186</v>
      </c>
      <c r="J49" s="37" t="s">
        <v>13</v>
      </c>
      <c r="K49" s="37">
        <v>946</v>
      </c>
      <c r="L49" s="2"/>
    </row>
    <row r="50" spans="1:12" ht="18" customHeight="1" x14ac:dyDescent="0.35">
      <c r="A50" s="13" t="s">
        <v>26</v>
      </c>
      <c r="B50" s="12" t="s">
        <v>590</v>
      </c>
      <c r="C50" s="42" t="s">
        <v>337</v>
      </c>
      <c r="D50" s="12" t="s">
        <v>596</v>
      </c>
      <c r="E50" s="12" t="s">
        <v>338</v>
      </c>
      <c r="F50" s="43">
        <v>1262</v>
      </c>
      <c r="G50" s="42">
        <v>1626</v>
      </c>
      <c r="H50" s="43">
        <v>1900</v>
      </c>
      <c r="I50" s="13" t="s">
        <v>186</v>
      </c>
      <c r="J50" s="43" t="s">
        <v>13</v>
      </c>
      <c r="K50" s="43">
        <v>1626</v>
      </c>
      <c r="L50" s="12"/>
    </row>
    <row r="51" spans="1:12" ht="18" customHeight="1" x14ac:dyDescent="0.35">
      <c r="A51" s="3" t="s">
        <v>26</v>
      </c>
      <c r="B51" s="2" t="s">
        <v>590</v>
      </c>
      <c r="C51" s="36" t="s">
        <v>351</v>
      </c>
      <c r="D51" s="2" t="s">
        <v>597</v>
      </c>
      <c r="E51" s="2" t="s">
        <v>352</v>
      </c>
      <c r="F51" s="37">
        <v>805</v>
      </c>
      <c r="G51" s="36">
        <v>1038</v>
      </c>
      <c r="H51" s="37">
        <v>1400</v>
      </c>
      <c r="I51" s="3" t="s">
        <v>186</v>
      </c>
      <c r="J51" s="37" t="s">
        <v>13</v>
      </c>
      <c r="K51" s="37">
        <v>1038</v>
      </c>
      <c r="L51" s="2"/>
    </row>
    <row r="52" spans="1:12" ht="18" customHeight="1" x14ac:dyDescent="0.35">
      <c r="A52" s="13" t="s">
        <v>26</v>
      </c>
      <c r="B52" s="12" t="s">
        <v>590</v>
      </c>
      <c r="C52" s="42" t="s">
        <v>356</v>
      </c>
      <c r="D52" s="12" t="s">
        <v>598</v>
      </c>
      <c r="E52" s="12" t="s">
        <v>357</v>
      </c>
      <c r="F52" s="43">
        <v>960</v>
      </c>
      <c r="G52" s="42">
        <v>1237</v>
      </c>
      <c r="H52" s="43">
        <v>1500</v>
      </c>
      <c r="I52" s="13" t="s">
        <v>186</v>
      </c>
      <c r="J52" s="43" t="s">
        <v>13</v>
      </c>
      <c r="K52" s="43">
        <v>1237</v>
      </c>
      <c r="L52" s="12"/>
    </row>
    <row r="53" spans="1:12" ht="18" customHeight="1" x14ac:dyDescent="0.35">
      <c r="A53" s="3" t="s">
        <v>26</v>
      </c>
      <c r="B53" s="2" t="s">
        <v>590</v>
      </c>
      <c r="C53" s="36" t="s">
        <v>327</v>
      </c>
      <c r="D53" s="2" t="s">
        <v>599</v>
      </c>
      <c r="E53" s="2" t="s">
        <v>328</v>
      </c>
      <c r="F53" s="37">
        <v>536</v>
      </c>
      <c r="G53" s="36">
        <v>690</v>
      </c>
      <c r="H53" s="37">
        <v>1100</v>
      </c>
      <c r="I53" s="3" t="s">
        <v>186</v>
      </c>
      <c r="J53" s="37" t="s">
        <v>13</v>
      </c>
      <c r="K53" s="37">
        <v>690</v>
      </c>
      <c r="L53" s="2"/>
    </row>
    <row r="54" spans="1:12" ht="18" customHeight="1" x14ac:dyDescent="0.35">
      <c r="A54" s="13" t="s">
        <v>26</v>
      </c>
      <c r="B54" s="12" t="s">
        <v>590</v>
      </c>
      <c r="C54" s="42" t="s">
        <v>600</v>
      </c>
      <c r="D54" s="12" t="s">
        <v>601</v>
      </c>
      <c r="E54" s="12" t="s">
        <v>602</v>
      </c>
      <c r="F54" s="43">
        <v>1182</v>
      </c>
      <c r="G54" s="42">
        <v>1524</v>
      </c>
      <c r="H54" s="43">
        <v>1900</v>
      </c>
      <c r="I54" s="13" t="s">
        <v>186</v>
      </c>
      <c r="J54" s="43" t="s">
        <v>13</v>
      </c>
      <c r="K54" s="43">
        <v>1524</v>
      </c>
      <c r="L54" s="12"/>
    </row>
    <row r="55" spans="1:12" ht="18" customHeight="1" x14ac:dyDescent="0.35">
      <c r="A55" s="3" t="s">
        <v>26</v>
      </c>
      <c r="B55" s="2" t="s">
        <v>590</v>
      </c>
      <c r="C55" s="36" t="s">
        <v>362</v>
      </c>
      <c r="D55" s="2" t="s">
        <v>603</v>
      </c>
      <c r="E55" s="2" t="s">
        <v>363</v>
      </c>
      <c r="F55" s="37">
        <v>1327</v>
      </c>
      <c r="G55" s="36">
        <v>1710</v>
      </c>
      <c r="H55" s="37">
        <v>2000</v>
      </c>
      <c r="I55" s="3" t="s">
        <v>186</v>
      </c>
      <c r="J55" s="37" t="s">
        <v>13</v>
      </c>
      <c r="K55" s="37">
        <v>1710</v>
      </c>
      <c r="L55" s="2"/>
    </row>
    <row r="56" spans="1:12" ht="18" customHeight="1" x14ac:dyDescent="0.35">
      <c r="A56" s="10" t="s">
        <v>26</v>
      </c>
      <c r="B56" s="9" t="s">
        <v>590</v>
      </c>
      <c r="C56" s="25" t="s">
        <v>371</v>
      </c>
      <c r="D56" s="9" t="s">
        <v>604</v>
      </c>
      <c r="E56" s="9" t="s">
        <v>372</v>
      </c>
      <c r="F56" s="34">
        <v>624</v>
      </c>
      <c r="G56" s="25">
        <v>1200</v>
      </c>
      <c r="H56" s="34">
        <v>2100</v>
      </c>
      <c r="I56" s="10" t="s">
        <v>186</v>
      </c>
      <c r="J56" s="34" t="s">
        <v>13</v>
      </c>
      <c r="K56" s="34">
        <v>1200</v>
      </c>
      <c r="L56" s="35" t="s">
        <v>605</v>
      </c>
    </row>
    <row r="57" spans="1:12" ht="18" customHeight="1" x14ac:dyDescent="0.35">
      <c r="A57" s="88" t="s">
        <v>606</v>
      </c>
      <c r="B57" s="88"/>
      <c r="C57" s="88"/>
      <c r="D57" s="88"/>
      <c r="E57" s="88"/>
      <c r="F57" s="88"/>
      <c r="G57" s="88"/>
      <c r="H57" s="88"/>
      <c r="I57" s="88"/>
      <c r="J57" s="88"/>
      <c r="K57" s="88"/>
      <c r="L57" s="88"/>
    </row>
    <row r="58" spans="1:12" ht="18" customHeight="1" x14ac:dyDescent="0.35">
      <c r="A58" s="13" t="s">
        <v>26</v>
      </c>
      <c r="B58" s="12" t="s">
        <v>607</v>
      </c>
      <c r="C58" s="42" t="s">
        <v>608</v>
      </c>
      <c r="D58" s="12" t="s">
        <v>591</v>
      </c>
      <c r="E58" s="12" t="s">
        <v>609</v>
      </c>
      <c r="F58" s="43">
        <v>690</v>
      </c>
      <c r="G58" s="42">
        <v>900</v>
      </c>
      <c r="H58" s="43">
        <v>1100</v>
      </c>
      <c r="I58" s="13" t="s">
        <v>186</v>
      </c>
      <c r="J58" s="43" t="s">
        <v>13</v>
      </c>
      <c r="K58" s="43">
        <v>900</v>
      </c>
      <c r="L58" s="12"/>
    </row>
    <row r="59" spans="1:12" ht="18" customHeight="1" x14ac:dyDescent="0.35">
      <c r="A59" s="3" t="s">
        <v>26</v>
      </c>
      <c r="B59" s="2" t="s">
        <v>607</v>
      </c>
      <c r="C59" s="36" t="s">
        <v>318</v>
      </c>
      <c r="D59" s="2" t="s">
        <v>610</v>
      </c>
      <c r="E59" s="2" t="s">
        <v>319</v>
      </c>
      <c r="F59" s="37">
        <v>1432</v>
      </c>
      <c r="G59" s="36">
        <v>1846</v>
      </c>
      <c r="H59" s="37">
        <v>2200</v>
      </c>
      <c r="I59" s="3" t="s">
        <v>186</v>
      </c>
      <c r="J59" s="37" t="s">
        <v>13</v>
      </c>
      <c r="K59" s="37">
        <v>1846</v>
      </c>
      <c r="L59" s="2"/>
    </row>
    <row r="60" spans="1:12" ht="18" customHeight="1" x14ac:dyDescent="0.35">
      <c r="A60" s="13" t="s">
        <v>26</v>
      </c>
      <c r="B60" s="12" t="s">
        <v>607</v>
      </c>
      <c r="C60" s="42" t="s">
        <v>313</v>
      </c>
      <c r="D60" s="12" t="s">
        <v>611</v>
      </c>
      <c r="E60" s="12" t="s">
        <v>314</v>
      </c>
      <c r="F60" s="43">
        <v>2407</v>
      </c>
      <c r="G60" s="42">
        <v>2966</v>
      </c>
      <c r="H60" s="43">
        <v>3500</v>
      </c>
      <c r="I60" s="13" t="s">
        <v>186</v>
      </c>
      <c r="J60" s="43" t="s">
        <v>13</v>
      </c>
      <c r="K60" s="43">
        <v>2966</v>
      </c>
      <c r="L60" s="12"/>
    </row>
    <row r="61" spans="1:12" ht="18" customHeight="1" x14ac:dyDescent="0.35">
      <c r="A61" s="89" t="s">
        <v>612</v>
      </c>
      <c r="B61" s="89"/>
      <c r="C61" s="89"/>
      <c r="D61" s="89"/>
      <c r="E61" s="89"/>
      <c r="F61" s="89"/>
      <c r="G61" s="89"/>
      <c r="H61" s="89"/>
      <c r="I61" s="89"/>
      <c r="J61" s="89"/>
      <c r="K61" s="89"/>
      <c r="L61" s="89"/>
    </row>
    <row r="62" spans="1:12" ht="18" customHeight="1" x14ac:dyDescent="0.35">
      <c r="A62" s="44" t="s">
        <v>29</v>
      </c>
      <c r="B62" s="45" t="s">
        <v>29</v>
      </c>
      <c r="C62" s="46" t="s">
        <v>383</v>
      </c>
      <c r="D62" s="45" t="s">
        <v>613</v>
      </c>
      <c r="E62" s="45" t="s">
        <v>384</v>
      </c>
      <c r="F62" s="47">
        <v>615</v>
      </c>
      <c r="G62" s="46">
        <v>793</v>
      </c>
      <c r="H62" s="47">
        <v>1023</v>
      </c>
      <c r="I62" s="44" t="s">
        <v>186</v>
      </c>
      <c r="J62" s="47" t="s">
        <v>13</v>
      </c>
      <c r="K62" s="47">
        <v>793</v>
      </c>
      <c r="L62" s="45"/>
    </row>
    <row r="63" spans="1:12" ht="18" customHeight="1" x14ac:dyDescent="0.35">
      <c r="A63" s="3" t="s">
        <v>29</v>
      </c>
      <c r="B63" s="2" t="s">
        <v>29</v>
      </c>
      <c r="C63" s="36" t="s">
        <v>388</v>
      </c>
      <c r="D63" s="2" t="s">
        <v>614</v>
      </c>
      <c r="E63" s="2" t="s">
        <v>389</v>
      </c>
      <c r="F63" s="37">
        <v>615</v>
      </c>
      <c r="G63" s="36">
        <v>793</v>
      </c>
      <c r="H63" s="37">
        <v>1125</v>
      </c>
      <c r="I63" s="3" t="s">
        <v>186</v>
      </c>
      <c r="J63" s="37" t="s">
        <v>13</v>
      </c>
      <c r="K63" s="37">
        <v>793</v>
      </c>
      <c r="L63" s="2"/>
    </row>
    <row r="64" spans="1:12" ht="18" customHeight="1" x14ac:dyDescent="0.35">
      <c r="A64" s="44" t="s">
        <v>29</v>
      </c>
      <c r="B64" s="45" t="s">
        <v>29</v>
      </c>
      <c r="C64" s="46" t="s">
        <v>392</v>
      </c>
      <c r="D64" s="45" t="s">
        <v>615</v>
      </c>
      <c r="E64" s="45" t="s">
        <v>393</v>
      </c>
      <c r="F64" s="47">
        <v>682</v>
      </c>
      <c r="G64" s="46">
        <v>879</v>
      </c>
      <c r="H64" s="47">
        <v>1100</v>
      </c>
      <c r="I64" s="44" t="s">
        <v>186</v>
      </c>
      <c r="J64" s="47" t="s">
        <v>13</v>
      </c>
      <c r="K64" s="47">
        <v>879</v>
      </c>
      <c r="L64" s="45"/>
    </row>
    <row r="65" spans="1:12" ht="18" customHeight="1" x14ac:dyDescent="0.35">
      <c r="A65" s="10" t="s">
        <v>29</v>
      </c>
      <c r="B65" s="9" t="s">
        <v>29</v>
      </c>
      <c r="C65" s="25" t="s">
        <v>397</v>
      </c>
      <c r="D65" s="9" t="s">
        <v>616</v>
      </c>
      <c r="E65" s="9" t="s">
        <v>398</v>
      </c>
      <c r="F65" s="34">
        <v>1474</v>
      </c>
      <c r="G65" s="25">
        <v>1900</v>
      </c>
      <c r="H65" s="34">
        <v>2200</v>
      </c>
      <c r="I65" s="10" t="s">
        <v>186</v>
      </c>
      <c r="J65" s="34" t="s">
        <v>13</v>
      </c>
      <c r="K65" s="34">
        <v>1900</v>
      </c>
      <c r="L65" s="35"/>
    </row>
    <row r="66" spans="1:12" ht="18" customHeight="1" x14ac:dyDescent="0.35">
      <c r="A66" s="44" t="s">
        <v>29</v>
      </c>
      <c r="B66" s="45" t="s">
        <v>29</v>
      </c>
      <c r="C66" s="46" t="s">
        <v>377</v>
      </c>
      <c r="D66" s="45" t="s">
        <v>618</v>
      </c>
      <c r="E66" s="45" t="s">
        <v>378</v>
      </c>
      <c r="F66" s="47">
        <v>1832</v>
      </c>
      <c r="G66" s="46">
        <v>2326</v>
      </c>
      <c r="H66" s="47">
        <v>2700</v>
      </c>
      <c r="I66" s="44" t="s">
        <v>186</v>
      </c>
      <c r="J66" s="47" t="s">
        <v>13</v>
      </c>
      <c r="K66" s="47">
        <v>2326</v>
      </c>
      <c r="L66" s="45"/>
    </row>
    <row r="67" spans="1:12" ht="18" customHeight="1" x14ac:dyDescent="0.35">
      <c r="A67" s="75" t="s">
        <v>619</v>
      </c>
      <c r="B67" s="75"/>
      <c r="C67" s="75"/>
      <c r="D67" s="75"/>
      <c r="E67" s="75"/>
      <c r="F67" s="75"/>
      <c r="G67" s="75"/>
      <c r="H67" s="75"/>
      <c r="I67" s="75"/>
      <c r="J67" s="75"/>
      <c r="K67" s="75"/>
      <c r="L67" s="75"/>
    </row>
    <row r="68" spans="1:12" ht="18" customHeight="1" x14ac:dyDescent="0.35">
      <c r="A68" s="16" t="s">
        <v>30</v>
      </c>
      <c r="B68" s="15" t="s">
        <v>620</v>
      </c>
      <c r="C68" s="48" t="s">
        <v>405</v>
      </c>
      <c r="D68" s="15" t="s">
        <v>621</v>
      </c>
      <c r="E68" s="15" t="s">
        <v>406</v>
      </c>
      <c r="F68" s="49">
        <v>536</v>
      </c>
      <c r="G68" s="48">
        <v>690</v>
      </c>
      <c r="H68" s="49">
        <v>820</v>
      </c>
      <c r="I68" s="16" t="s">
        <v>186</v>
      </c>
      <c r="J68" s="49" t="s">
        <v>13</v>
      </c>
      <c r="K68" s="49">
        <v>690</v>
      </c>
      <c r="L68" s="15"/>
    </row>
    <row r="69" spans="1:12" ht="18" customHeight="1" x14ac:dyDescent="0.35">
      <c r="A69" s="3" t="s">
        <v>30</v>
      </c>
      <c r="B69" s="2" t="s">
        <v>620</v>
      </c>
      <c r="C69" s="36" t="s">
        <v>490</v>
      </c>
      <c r="D69" s="2" t="s">
        <v>622</v>
      </c>
      <c r="E69" s="2" t="s">
        <v>491</v>
      </c>
      <c r="F69" s="37">
        <v>768</v>
      </c>
      <c r="G69" s="36">
        <v>989</v>
      </c>
      <c r="H69" s="37">
        <v>1200</v>
      </c>
      <c r="I69" s="3" t="s">
        <v>186</v>
      </c>
      <c r="J69" s="37" t="s">
        <v>13</v>
      </c>
      <c r="K69" s="37">
        <v>989</v>
      </c>
      <c r="L69" s="2"/>
    </row>
    <row r="70" spans="1:12" ht="18" customHeight="1" x14ac:dyDescent="0.35">
      <c r="A70" s="16" t="s">
        <v>30</v>
      </c>
      <c r="B70" s="15" t="s">
        <v>620</v>
      </c>
      <c r="C70" s="48" t="s">
        <v>410</v>
      </c>
      <c r="D70" s="15" t="s">
        <v>623</v>
      </c>
      <c r="E70" s="15" t="s">
        <v>411</v>
      </c>
      <c r="F70" s="49">
        <v>496</v>
      </c>
      <c r="G70" s="48">
        <v>639</v>
      </c>
      <c r="H70" s="49">
        <v>780</v>
      </c>
      <c r="I70" s="16" t="s">
        <v>186</v>
      </c>
      <c r="J70" s="49" t="s">
        <v>13</v>
      </c>
      <c r="K70" s="49">
        <v>639</v>
      </c>
      <c r="L70" s="15"/>
    </row>
    <row r="71" spans="1:12" ht="18" customHeight="1" x14ac:dyDescent="0.35">
      <c r="A71" s="3" t="s">
        <v>30</v>
      </c>
      <c r="B71" s="2" t="s">
        <v>620</v>
      </c>
      <c r="C71" s="36" t="s">
        <v>413</v>
      </c>
      <c r="D71" s="2" t="s">
        <v>624</v>
      </c>
      <c r="E71" s="2" t="s">
        <v>414</v>
      </c>
      <c r="F71" s="37">
        <v>582</v>
      </c>
      <c r="G71" s="36">
        <v>792</v>
      </c>
      <c r="H71" s="37">
        <v>900</v>
      </c>
      <c r="I71" s="3" t="s">
        <v>186</v>
      </c>
      <c r="J71" s="37" t="s">
        <v>13</v>
      </c>
      <c r="K71" s="37">
        <v>792</v>
      </c>
      <c r="L71" s="2"/>
    </row>
    <row r="72" spans="1:12" ht="18" customHeight="1" x14ac:dyDescent="0.35">
      <c r="A72" s="16" t="s">
        <v>30</v>
      </c>
      <c r="B72" s="15" t="s">
        <v>620</v>
      </c>
      <c r="C72" s="48" t="s">
        <v>426</v>
      </c>
      <c r="D72" s="15" t="s">
        <v>625</v>
      </c>
      <c r="E72" s="15" t="s">
        <v>427</v>
      </c>
      <c r="F72" s="49">
        <v>575</v>
      </c>
      <c r="G72" s="48">
        <v>741</v>
      </c>
      <c r="H72" s="49">
        <v>870</v>
      </c>
      <c r="I72" s="16" t="s">
        <v>186</v>
      </c>
      <c r="J72" s="49" t="s">
        <v>13</v>
      </c>
      <c r="K72" s="49">
        <v>741</v>
      </c>
      <c r="L72" s="15"/>
    </row>
    <row r="73" spans="1:12" ht="18" customHeight="1" x14ac:dyDescent="0.35">
      <c r="A73" s="3" t="s">
        <v>30</v>
      </c>
      <c r="B73" s="2" t="s">
        <v>620</v>
      </c>
      <c r="C73" s="36" t="s">
        <v>421</v>
      </c>
      <c r="D73" s="2" t="s">
        <v>626</v>
      </c>
      <c r="E73" s="2" t="s">
        <v>422</v>
      </c>
      <c r="F73" s="37">
        <v>555</v>
      </c>
      <c r="G73" s="36">
        <v>716</v>
      </c>
      <c r="H73" s="37">
        <v>946</v>
      </c>
      <c r="I73" s="3" t="s">
        <v>186</v>
      </c>
      <c r="J73" s="37" t="s">
        <v>13</v>
      </c>
      <c r="K73" s="37">
        <v>716</v>
      </c>
      <c r="L73" s="2"/>
    </row>
    <row r="74" spans="1:12" ht="18" customHeight="1" x14ac:dyDescent="0.35">
      <c r="A74" s="16" t="s">
        <v>30</v>
      </c>
      <c r="B74" s="15" t="s">
        <v>620</v>
      </c>
      <c r="C74" s="48" t="s">
        <v>431</v>
      </c>
      <c r="D74" s="15" t="s">
        <v>627</v>
      </c>
      <c r="E74" s="15" t="s">
        <v>432</v>
      </c>
      <c r="F74" s="49">
        <v>575</v>
      </c>
      <c r="G74" s="48">
        <v>741</v>
      </c>
      <c r="H74" s="49">
        <v>900</v>
      </c>
      <c r="I74" s="16" t="s">
        <v>186</v>
      </c>
      <c r="J74" s="49" t="s">
        <v>13</v>
      </c>
      <c r="K74" s="49">
        <v>741</v>
      </c>
      <c r="L74" s="15"/>
    </row>
    <row r="75" spans="1:12" ht="18" customHeight="1" x14ac:dyDescent="0.35">
      <c r="A75" s="10" t="s">
        <v>30</v>
      </c>
      <c r="B75" s="9" t="s">
        <v>620</v>
      </c>
      <c r="C75" s="25" t="s">
        <v>485</v>
      </c>
      <c r="D75" s="9" t="s">
        <v>628</v>
      </c>
      <c r="E75" s="9" t="s">
        <v>486</v>
      </c>
      <c r="F75" s="34">
        <v>556</v>
      </c>
      <c r="G75" s="25">
        <v>839</v>
      </c>
      <c r="H75" s="34">
        <v>1250</v>
      </c>
      <c r="I75" s="10" t="s">
        <v>186</v>
      </c>
      <c r="J75" s="34" t="s">
        <v>13</v>
      </c>
      <c r="K75" s="34">
        <v>839</v>
      </c>
      <c r="L75" s="35"/>
    </row>
    <row r="76" spans="1:12" ht="18" customHeight="1" x14ac:dyDescent="0.35">
      <c r="A76" s="16" t="s">
        <v>30</v>
      </c>
      <c r="B76" s="15" t="s">
        <v>620</v>
      </c>
      <c r="C76" s="48" t="s">
        <v>480</v>
      </c>
      <c r="D76" s="15" t="s">
        <v>630</v>
      </c>
      <c r="E76" s="15" t="s">
        <v>481</v>
      </c>
      <c r="F76" s="49">
        <v>952</v>
      </c>
      <c r="G76" s="48">
        <v>1227</v>
      </c>
      <c r="H76" s="49">
        <v>1450</v>
      </c>
      <c r="I76" s="16" t="s">
        <v>186</v>
      </c>
      <c r="J76" s="49" t="s">
        <v>13</v>
      </c>
      <c r="K76" s="49">
        <v>1227</v>
      </c>
      <c r="L76" s="15"/>
    </row>
    <row r="77" spans="1:12" ht="18" customHeight="1" x14ac:dyDescent="0.35">
      <c r="A77" s="3" t="s">
        <v>30</v>
      </c>
      <c r="B77" s="2" t="s">
        <v>620</v>
      </c>
      <c r="C77" s="36" t="s">
        <v>631</v>
      </c>
      <c r="D77" s="2" t="s">
        <v>632</v>
      </c>
      <c r="E77" s="2" t="s">
        <v>633</v>
      </c>
      <c r="F77" s="37">
        <v>766</v>
      </c>
      <c r="G77" s="36">
        <v>987</v>
      </c>
      <c r="H77" s="37">
        <v>1200</v>
      </c>
      <c r="I77" s="3" t="s">
        <v>186</v>
      </c>
      <c r="J77" s="37" t="s">
        <v>13</v>
      </c>
      <c r="K77" s="37">
        <v>987</v>
      </c>
      <c r="L77" s="2"/>
    </row>
    <row r="78" spans="1:12" ht="18" customHeight="1" x14ac:dyDescent="0.35">
      <c r="A78" s="71" t="s">
        <v>634</v>
      </c>
      <c r="B78" s="71"/>
      <c r="C78" s="71"/>
      <c r="D78" s="71"/>
      <c r="E78" s="71"/>
      <c r="F78" s="71"/>
      <c r="G78" s="71"/>
      <c r="H78" s="71"/>
      <c r="I78" s="71"/>
      <c r="J78" s="71"/>
      <c r="K78" s="71"/>
      <c r="L78" s="71"/>
    </row>
    <row r="79" spans="1:12" ht="18" customHeight="1" x14ac:dyDescent="0.35">
      <c r="A79" s="3" t="s">
        <v>30</v>
      </c>
      <c r="B79" s="2" t="s">
        <v>635</v>
      </c>
      <c r="C79" s="36" t="s">
        <v>519</v>
      </c>
      <c r="D79" s="2" t="s">
        <v>636</v>
      </c>
      <c r="E79" s="2" t="s">
        <v>520</v>
      </c>
      <c r="F79" s="37">
        <v>496</v>
      </c>
      <c r="G79" s="36">
        <v>640</v>
      </c>
      <c r="H79" s="37">
        <v>750</v>
      </c>
      <c r="I79" s="3" t="s">
        <v>186</v>
      </c>
      <c r="J79" s="37" t="s">
        <v>13</v>
      </c>
      <c r="K79" s="37">
        <v>640</v>
      </c>
      <c r="L79" s="2"/>
    </row>
    <row r="80" spans="1:12" ht="18" customHeight="1" x14ac:dyDescent="0.35">
      <c r="A80" s="16" t="s">
        <v>30</v>
      </c>
      <c r="B80" s="15" t="s">
        <v>635</v>
      </c>
      <c r="C80" s="48" t="s">
        <v>470</v>
      </c>
      <c r="D80" s="15" t="s">
        <v>637</v>
      </c>
      <c r="E80" s="15" t="s">
        <v>471</v>
      </c>
      <c r="F80" s="49">
        <v>913</v>
      </c>
      <c r="G80" s="48">
        <v>1176</v>
      </c>
      <c r="H80" s="49">
        <v>1400</v>
      </c>
      <c r="I80" s="16" t="s">
        <v>186</v>
      </c>
      <c r="J80" s="49" t="s">
        <v>13</v>
      </c>
      <c r="K80" s="49">
        <v>1176</v>
      </c>
      <c r="L80" s="15"/>
    </row>
    <row r="81" spans="1:12" ht="18" customHeight="1" x14ac:dyDescent="0.35">
      <c r="A81" s="10" t="s">
        <v>30</v>
      </c>
      <c r="B81" s="9" t="s">
        <v>635</v>
      </c>
      <c r="C81" s="25" t="s">
        <v>466</v>
      </c>
      <c r="D81" s="9" t="s">
        <v>638</v>
      </c>
      <c r="E81" s="9" t="s">
        <v>467</v>
      </c>
      <c r="F81" s="34">
        <v>1111</v>
      </c>
      <c r="G81" s="25">
        <v>1432</v>
      </c>
      <c r="H81" s="34">
        <v>1700</v>
      </c>
      <c r="I81" s="10" t="s">
        <v>186</v>
      </c>
      <c r="J81" s="34" t="s">
        <v>13</v>
      </c>
      <c r="K81" s="34">
        <v>1432</v>
      </c>
      <c r="L81" s="35"/>
    </row>
    <row r="82" spans="1:12" ht="18" customHeight="1" x14ac:dyDescent="0.35">
      <c r="A82" s="16" t="s">
        <v>30</v>
      </c>
      <c r="B82" s="15" t="s">
        <v>635</v>
      </c>
      <c r="C82" s="48" t="s">
        <v>475</v>
      </c>
      <c r="D82" s="15" t="s">
        <v>640</v>
      </c>
      <c r="E82" s="15" t="s">
        <v>476</v>
      </c>
      <c r="F82" s="49">
        <v>881</v>
      </c>
      <c r="G82" s="48">
        <v>1135</v>
      </c>
      <c r="H82" s="49">
        <v>1600</v>
      </c>
      <c r="I82" s="16" t="s">
        <v>186</v>
      </c>
      <c r="J82" s="49" t="s">
        <v>13</v>
      </c>
      <c r="K82" s="49">
        <v>1135</v>
      </c>
      <c r="L82" s="15"/>
    </row>
    <row r="83" spans="1:12" ht="18" customHeight="1" x14ac:dyDescent="0.35">
      <c r="A83" s="71" t="s">
        <v>641</v>
      </c>
      <c r="B83" s="71"/>
      <c r="C83" s="71"/>
      <c r="D83" s="71"/>
      <c r="E83" s="71"/>
      <c r="F83" s="71"/>
      <c r="G83" s="71"/>
      <c r="H83" s="71"/>
      <c r="I83" s="71"/>
      <c r="J83" s="71"/>
      <c r="K83" s="71"/>
      <c r="L83" s="71"/>
    </row>
    <row r="84" spans="1:12" ht="18" customHeight="1" x14ac:dyDescent="0.35">
      <c r="A84" s="16" t="s">
        <v>30</v>
      </c>
      <c r="B84" s="15" t="s">
        <v>642</v>
      </c>
      <c r="C84" s="48" t="s">
        <v>462</v>
      </c>
      <c r="D84" s="15" t="s">
        <v>643</v>
      </c>
      <c r="E84" s="15" t="s">
        <v>463</v>
      </c>
      <c r="F84" s="49">
        <v>873</v>
      </c>
      <c r="G84" s="48">
        <v>1125</v>
      </c>
      <c r="H84" s="49">
        <v>1300</v>
      </c>
      <c r="I84" s="16" t="s">
        <v>186</v>
      </c>
      <c r="J84" s="49" t="s">
        <v>13</v>
      </c>
      <c r="K84" s="49">
        <v>1125</v>
      </c>
      <c r="L84" s="15"/>
    </row>
    <row r="85" spans="1:12" ht="18" customHeight="1" x14ac:dyDescent="0.35">
      <c r="A85" s="3" t="s">
        <v>30</v>
      </c>
      <c r="B85" s="2" t="s">
        <v>642</v>
      </c>
      <c r="C85" s="36" t="s">
        <v>458</v>
      </c>
      <c r="D85" s="2" t="s">
        <v>644</v>
      </c>
      <c r="E85" s="2" t="s">
        <v>459</v>
      </c>
      <c r="F85" s="37">
        <v>885</v>
      </c>
      <c r="G85" s="36">
        <v>1140</v>
      </c>
      <c r="H85" s="37">
        <v>1400</v>
      </c>
      <c r="I85" s="3" t="s">
        <v>186</v>
      </c>
      <c r="J85" s="37" t="s">
        <v>13</v>
      </c>
      <c r="K85" s="37">
        <v>1140</v>
      </c>
      <c r="L85" s="2"/>
    </row>
    <row r="86" spans="1:12" ht="18" customHeight="1" x14ac:dyDescent="0.35">
      <c r="A86" s="16" t="s">
        <v>30</v>
      </c>
      <c r="B86" s="15" t="s">
        <v>642</v>
      </c>
      <c r="C86" s="48" t="s">
        <v>452</v>
      </c>
      <c r="D86" s="15" t="s">
        <v>645</v>
      </c>
      <c r="E86" s="15" t="s">
        <v>453</v>
      </c>
      <c r="F86" s="49">
        <v>1111</v>
      </c>
      <c r="G86" s="48">
        <v>1432</v>
      </c>
      <c r="H86" s="49">
        <v>1700</v>
      </c>
      <c r="I86" s="16" t="s">
        <v>186</v>
      </c>
      <c r="J86" s="49" t="s">
        <v>13</v>
      </c>
      <c r="K86" s="49">
        <v>1432</v>
      </c>
      <c r="L86" s="15"/>
    </row>
    <row r="87" spans="1:12" ht="18" customHeight="1" x14ac:dyDescent="0.35">
      <c r="A87" s="86" t="s">
        <v>646</v>
      </c>
      <c r="B87" s="86"/>
      <c r="C87" s="86"/>
      <c r="D87" s="86"/>
      <c r="E87" s="86"/>
      <c r="F87" s="86"/>
      <c r="G87" s="86"/>
      <c r="H87" s="86"/>
      <c r="I87" s="86"/>
      <c r="J87" s="86"/>
      <c r="K87" s="86"/>
      <c r="L87" s="86"/>
    </row>
    <row r="88" spans="1:12" ht="18" customHeight="1" x14ac:dyDescent="0.35">
      <c r="A88" s="16" t="s">
        <v>30</v>
      </c>
      <c r="B88" s="15" t="s">
        <v>647</v>
      </c>
      <c r="C88" s="48" t="s">
        <v>497</v>
      </c>
      <c r="D88" s="15" t="s">
        <v>648</v>
      </c>
      <c r="E88" s="15" t="s">
        <v>498</v>
      </c>
      <c r="F88" s="49">
        <v>629</v>
      </c>
      <c r="G88" s="48">
        <v>810</v>
      </c>
      <c r="H88" s="49">
        <v>1400</v>
      </c>
      <c r="I88" s="16" t="s">
        <v>186</v>
      </c>
      <c r="J88" s="49" t="s">
        <v>13</v>
      </c>
      <c r="K88" s="49">
        <v>810</v>
      </c>
      <c r="L88" s="15"/>
    </row>
    <row r="89" spans="1:12" ht="18" customHeight="1" x14ac:dyDescent="0.35">
      <c r="A89" s="3" t="s">
        <v>30</v>
      </c>
      <c r="B89" s="2" t="s">
        <v>647</v>
      </c>
      <c r="C89" s="36" t="s">
        <v>502</v>
      </c>
      <c r="D89" s="2" t="s">
        <v>649</v>
      </c>
      <c r="E89" s="2" t="s">
        <v>503</v>
      </c>
      <c r="F89" s="37">
        <v>767</v>
      </c>
      <c r="G89" s="36">
        <v>988</v>
      </c>
      <c r="H89" s="37">
        <v>1200</v>
      </c>
      <c r="I89" s="3" t="s">
        <v>186</v>
      </c>
      <c r="J89" s="37" t="s">
        <v>13</v>
      </c>
      <c r="K89" s="37">
        <v>988</v>
      </c>
      <c r="L89" s="2"/>
    </row>
    <row r="90" spans="1:12" ht="18" customHeight="1" x14ac:dyDescent="0.35">
      <c r="A90" s="79" t="s">
        <v>650</v>
      </c>
      <c r="B90" s="79"/>
      <c r="C90" s="79"/>
      <c r="D90" s="79"/>
      <c r="E90" s="79"/>
      <c r="F90" s="79"/>
      <c r="G90" s="79"/>
      <c r="H90" s="79"/>
      <c r="I90" s="79"/>
      <c r="J90" s="79"/>
      <c r="K90" s="79"/>
      <c r="L90" s="79"/>
    </row>
    <row r="91" spans="1:12" ht="18" customHeight="1" x14ac:dyDescent="0.35">
      <c r="A91" s="3" t="s">
        <v>30</v>
      </c>
      <c r="B91" s="2" t="s">
        <v>651</v>
      </c>
      <c r="C91" s="36" t="s">
        <v>447</v>
      </c>
      <c r="D91" s="2" t="s">
        <v>652</v>
      </c>
      <c r="E91" s="2" t="s">
        <v>448</v>
      </c>
      <c r="F91" s="37">
        <v>766</v>
      </c>
      <c r="G91" s="36">
        <v>987</v>
      </c>
      <c r="H91" s="37">
        <v>1200</v>
      </c>
      <c r="I91" s="3" t="s">
        <v>186</v>
      </c>
      <c r="J91" s="37" t="s">
        <v>13</v>
      </c>
      <c r="K91" s="37">
        <v>987</v>
      </c>
      <c r="L91" s="2"/>
    </row>
    <row r="92" spans="1:12" ht="18" customHeight="1" x14ac:dyDescent="0.35">
      <c r="A92" s="16" t="s">
        <v>30</v>
      </c>
      <c r="B92" s="15" t="s">
        <v>651</v>
      </c>
      <c r="C92" s="48" t="s">
        <v>443</v>
      </c>
      <c r="D92" s="15" t="s">
        <v>653</v>
      </c>
      <c r="E92" s="15" t="s">
        <v>444</v>
      </c>
      <c r="F92" s="49">
        <v>1627</v>
      </c>
      <c r="G92" s="48">
        <v>2096</v>
      </c>
      <c r="H92" s="49">
        <v>2500</v>
      </c>
      <c r="I92" s="16" t="s">
        <v>186</v>
      </c>
      <c r="J92" s="49" t="s">
        <v>13</v>
      </c>
      <c r="K92" s="49">
        <v>2096</v>
      </c>
      <c r="L92" s="15"/>
    </row>
    <row r="93" spans="1:12" ht="18" customHeight="1" x14ac:dyDescent="0.35">
      <c r="A93" s="3" t="s">
        <v>30</v>
      </c>
      <c r="B93" s="2" t="s">
        <v>651</v>
      </c>
      <c r="C93" s="36" t="s">
        <v>438</v>
      </c>
      <c r="D93" s="2" t="s">
        <v>654</v>
      </c>
      <c r="E93" s="2" t="s">
        <v>439</v>
      </c>
      <c r="F93" s="37">
        <v>1740</v>
      </c>
      <c r="G93" s="36">
        <v>2224</v>
      </c>
      <c r="H93" s="37">
        <v>2800</v>
      </c>
      <c r="I93" s="3" t="s">
        <v>186</v>
      </c>
      <c r="J93" s="37" t="s">
        <v>13</v>
      </c>
      <c r="K93" s="37">
        <v>2224</v>
      </c>
      <c r="L93" s="2"/>
    </row>
    <row r="94" spans="1:12" ht="18" customHeight="1" x14ac:dyDescent="0.35">
      <c r="A94" s="16" t="s">
        <v>30</v>
      </c>
      <c r="B94" s="15" t="s">
        <v>651</v>
      </c>
      <c r="C94" s="48" t="s">
        <v>655</v>
      </c>
      <c r="D94" s="15" t="s">
        <v>656</v>
      </c>
      <c r="E94" s="15" t="s">
        <v>657</v>
      </c>
      <c r="F94" s="49">
        <v>1400</v>
      </c>
      <c r="G94" s="48">
        <v>1800</v>
      </c>
      <c r="H94" s="49">
        <v>2200</v>
      </c>
      <c r="I94" s="16" t="s">
        <v>186</v>
      </c>
      <c r="J94" s="49" t="s">
        <v>13</v>
      </c>
      <c r="K94" s="49">
        <v>1800</v>
      </c>
      <c r="L94" s="15"/>
    </row>
    <row r="95" spans="1:12" ht="18" customHeight="1" x14ac:dyDescent="0.35">
      <c r="A95" s="3" t="s">
        <v>30</v>
      </c>
      <c r="B95" s="2" t="s">
        <v>651</v>
      </c>
      <c r="C95" s="36" t="s">
        <v>658</v>
      </c>
      <c r="D95" s="2" t="s">
        <v>659</v>
      </c>
      <c r="E95" s="2" t="s">
        <v>660</v>
      </c>
      <c r="F95" s="37">
        <v>2200</v>
      </c>
      <c r="G95" s="36">
        <v>2600</v>
      </c>
      <c r="H95" s="37">
        <v>3200</v>
      </c>
      <c r="I95" s="3" t="s">
        <v>186</v>
      </c>
      <c r="J95" s="37" t="s">
        <v>13</v>
      </c>
      <c r="K95" s="37">
        <v>2600</v>
      </c>
      <c r="L95" s="2"/>
    </row>
    <row r="96" spans="1:12" ht="12.75" customHeight="1" x14ac:dyDescent="0.35">
      <c r="A96" s="87" t="s">
        <v>661</v>
      </c>
      <c r="B96" s="87"/>
      <c r="C96" s="87"/>
      <c r="D96" s="87"/>
      <c r="E96" s="87"/>
      <c r="F96" s="87"/>
      <c r="G96" s="87"/>
      <c r="H96" s="87"/>
      <c r="I96" s="87"/>
      <c r="J96" s="87"/>
      <c r="K96" s="87"/>
      <c r="L96" s="87"/>
    </row>
  </sheetData>
  <mergeCells count="18">
    <mergeCell ref="A1:L1"/>
    <mergeCell ref="A2:L2"/>
    <mergeCell ref="A5:L5"/>
    <mergeCell ref="A13:L13"/>
    <mergeCell ref="A17:L17"/>
    <mergeCell ref="A24:L24"/>
    <mergeCell ref="A28:L28"/>
    <mergeCell ref="A35:L35"/>
    <mergeCell ref="A39:L39"/>
    <mergeCell ref="A44:L44"/>
    <mergeCell ref="A87:L87"/>
    <mergeCell ref="A90:L90"/>
    <mergeCell ref="A96:L96"/>
    <mergeCell ref="A57:L57"/>
    <mergeCell ref="A61:L61"/>
    <mergeCell ref="A67:L67"/>
    <mergeCell ref="A78:L78"/>
    <mergeCell ref="A83:L8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C52"/>
  <sheetViews>
    <sheetView showGridLines="0" tabSelected="1" zoomScaleNormal="100" workbookViewId="0">
      <pane xSplit="1" ySplit="3" topLeftCell="B14" activePane="bottomRight" state="frozen"/>
      <selection pane="topRight" activeCell="B1" sqref="B1"/>
      <selection pane="bottomLeft" activeCell="A4" sqref="A4"/>
      <selection pane="bottomRight" activeCell="E25" sqref="E25"/>
    </sheetView>
  </sheetViews>
  <sheetFormatPr defaultColWidth="8.6328125" defaultRowHeight="14.5" x14ac:dyDescent="0.35"/>
  <cols>
    <col min="1" max="1" width="2" customWidth="1"/>
    <col min="2" max="2" width="22" customWidth="1"/>
    <col min="3" max="3" width="88" customWidth="1"/>
    <col min="4" max="4" width="2" customWidth="1"/>
  </cols>
  <sheetData>
    <row r="1" spans="2:3" ht="30" customHeight="1" x14ac:dyDescent="0.35">
      <c r="B1" s="97" t="s">
        <v>662</v>
      </c>
      <c r="C1" s="97"/>
    </row>
    <row r="2" spans="2:3" ht="19.5" customHeight="1" x14ac:dyDescent="0.35">
      <c r="B2" s="98" t="s">
        <v>663</v>
      </c>
      <c r="C2" s="98"/>
    </row>
    <row r="3" spans="2:3" ht="6" customHeight="1" x14ac:dyDescent="0.35"/>
    <row r="4" spans="2:3" ht="21.75" customHeight="1" x14ac:dyDescent="0.35">
      <c r="B4" s="99" t="s">
        <v>664</v>
      </c>
      <c r="C4" s="99"/>
    </row>
    <row r="5" spans="2:3" ht="31.5" customHeight="1" x14ac:dyDescent="0.35">
      <c r="B5" s="50" t="s">
        <v>665</v>
      </c>
      <c r="C5" s="51" t="s">
        <v>666</v>
      </c>
    </row>
    <row r="6" spans="2:3" ht="31.5" customHeight="1" x14ac:dyDescent="0.35">
      <c r="B6" s="50" t="s">
        <v>667</v>
      </c>
      <c r="C6" s="52" t="s">
        <v>668</v>
      </c>
    </row>
    <row r="7" spans="2:3" ht="45" customHeight="1" x14ac:dyDescent="0.35">
      <c r="B7" s="50" t="s">
        <v>669</v>
      </c>
      <c r="C7" s="53" t="s">
        <v>670</v>
      </c>
    </row>
    <row r="8" spans="2:3" ht="45" customHeight="1" x14ac:dyDescent="0.35">
      <c r="B8" s="50" t="s">
        <v>671</v>
      </c>
      <c r="C8" s="54" t="s">
        <v>672</v>
      </c>
    </row>
    <row r="9" spans="2:3" ht="7.5" customHeight="1" x14ac:dyDescent="0.35"/>
    <row r="10" spans="2:3" ht="21.75" customHeight="1" x14ac:dyDescent="0.35">
      <c r="B10" s="100" t="s">
        <v>673</v>
      </c>
      <c r="C10" s="100"/>
    </row>
    <row r="11" spans="2:3" ht="31.5" customHeight="1" x14ac:dyDescent="0.35">
      <c r="B11" s="50" t="s">
        <v>665</v>
      </c>
      <c r="C11" s="51" t="s">
        <v>674</v>
      </c>
    </row>
    <row r="12" spans="2:3" ht="31.5" customHeight="1" x14ac:dyDescent="0.35">
      <c r="B12" s="50" t="s">
        <v>667</v>
      </c>
      <c r="C12" s="52" t="s">
        <v>675</v>
      </c>
    </row>
    <row r="13" spans="2:3" ht="45" customHeight="1" x14ac:dyDescent="0.35">
      <c r="B13" s="50" t="s">
        <v>669</v>
      </c>
      <c r="C13" s="53" t="s">
        <v>676</v>
      </c>
    </row>
    <row r="14" spans="2:3" ht="45" customHeight="1" x14ac:dyDescent="0.35">
      <c r="B14" s="50" t="s">
        <v>671</v>
      </c>
      <c r="C14" s="54" t="s">
        <v>677</v>
      </c>
    </row>
    <row r="15" spans="2:3" ht="7.5" customHeight="1" x14ac:dyDescent="0.35"/>
    <row r="16" spans="2:3" ht="21.75" customHeight="1" x14ac:dyDescent="0.35">
      <c r="B16" s="101" t="s">
        <v>678</v>
      </c>
      <c r="C16" s="101"/>
    </row>
    <row r="17" spans="2:3" ht="19.5" customHeight="1" x14ac:dyDescent="0.35">
      <c r="B17" s="50" t="s">
        <v>665</v>
      </c>
      <c r="C17" s="51" t="s">
        <v>679</v>
      </c>
    </row>
    <row r="18" spans="2:3" ht="31.5" customHeight="1" x14ac:dyDescent="0.35">
      <c r="B18" s="50" t="s">
        <v>667</v>
      </c>
      <c r="C18" s="52" t="s">
        <v>680</v>
      </c>
    </row>
    <row r="19" spans="2:3" ht="45" customHeight="1" x14ac:dyDescent="0.35">
      <c r="B19" s="50" t="s">
        <v>669</v>
      </c>
      <c r="C19" s="53" t="s">
        <v>681</v>
      </c>
    </row>
    <row r="20" spans="2:3" ht="31.5" customHeight="1" x14ac:dyDescent="0.35">
      <c r="B20" s="50" t="s">
        <v>671</v>
      </c>
      <c r="C20" s="54" t="s">
        <v>682</v>
      </c>
    </row>
    <row r="21" spans="2:3" ht="7.5" customHeight="1" x14ac:dyDescent="0.35"/>
    <row r="22" spans="2:3" ht="21.75" customHeight="1" x14ac:dyDescent="0.35">
      <c r="B22" s="92" t="s">
        <v>683</v>
      </c>
      <c r="C22" s="92"/>
    </row>
    <row r="23" spans="2:3" ht="19.5" customHeight="1" x14ac:dyDescent="0.35">
      <c r="B23" s="50" t="s">
        <v>665</v>
      </c>
      <c r="C23" s="51" t="s">
        <v>684</v>
      </c>
    </row>
    <row r="24" spans="2:3" ht="31.5" customHeight="1" x14ac:dyDescent="0.35">
      <c r="B24" s="50" t="s">
        <v>667</v>
      </c>
      <c r="C24" s="52" t="s">
        <v>685</v>
      </c>
    </row>
    <row r="25" spans="2:3" ht="57.75" customHeight="1" x14ac:dyDescent="0.35">
      <c r="B25" s="50" t="s">
        <v>669</v>
      </c>
      <c r="C25" s="53" t="s">
        <v>686</v>
      </c>
    </row>
    <row r="26" spans="2:3" ht="31.5" customHeight="1" x14ac:dyDescent="0.35">
      <c r="B26" s="50" t="s">
        <v>671</v>
      </c>
      <c r="C26" s="54" t="s">
        <v>687</v>
      </c>
    </row>
    <row r="27" spans="2:3" ht="7.5" customHeight="1" x14ac:dyDescent="0.35"/>
    <row r="28" spans="2:3" ht="21.75" customHeight="1" x14ac:dyDescent="0.35">
      <c r="B28" s="93" t="s">
        <v>688</v>
      </c>
      <c r="C28" s="93"/>
    </row>
    <row r="29" spans="2:3" ht="31.5" customHeight="1" x14ac:dyDescent="0.35">
      <c r="B29" s="50" t="s">
        <v>665</v>
      </c>
      <c r="C29" s="51" t="s">
        <v>689</v>
      </c>
    </row>
    <row r="30" spans="2:3" ht="31.5" customHeight="1" x14ac:dyDescent="0.35">
      <c r="B30" s="50" t="s">
        <v>667</v>
      </c>
      <c r="C30" s="52" t="s">
        <v>690</v>
      </c>
    </row>
    <row r="31" spans="2:3" ht="57.75" customHeight="1" x14ac:dyDescent="0.35">
      <c r="B31" s="50" t="s">
        <v>669</v>
      </c>
      <c r="C31" s="53" t="s">
        <v>691</v>
      </c>
    </row>
    <row r="32" spans="2:3" ht="31.5" customHeight="1" x14ac:dyDescent="0.35">
      <c r="B32" s="50" t="s">
        <v>671</v>
      </c>
      <c r="C32" s="54" t="s">
        <v>692</v>
      </c>
    </row>
    <row r="33" spans="2:3" ht="7.5" customHeight="1" x14ac:dyDescent="0.35"/>
    <row r="34" spans="2:3" ht="21.75" customHeight="1" x14ac:dyDescent="0.35">
      <c r="B34" s="94" t="s">
        <v>693</v>
      </c>
      <c r="C34" s="94"/>
    </row>
    <row r="35" spans="2:3" ht="45" customHeight="1" x14ac:dyDescent="0.35">
      <c r="B35" s="50" t="s">
        <v>665</v>
      </c>
      <c r="C35" s="51" t="s">
        <v>694</v>
      </c>
    </row>
    <row r="36" spans="2:3" ht="31.5" customHeight="1" x14ac:dyDescent="0.35">
      <c r="B36" s="50" t="s">
        <v>667</v>
      </c>
      <c r="C36" s="52" t="s">
        <v>695</v>
      </c>
    </row>
    <row r="37" spans="2:3" ht="79.5" customHeight="1" x14ac:dyDescent="0.35">
      <c r="B37" s="50" t="s">
        <v>669</v>
      </c>
      <c r="C37" s="53" t="s">
        <v>696</v>
      </c>
    </row>
    <row r="38" spans="2:3" ht="31.5" customHeight="1" x14ac:dyDescent="0.35">
      <c r="B38" s="50" t="s">
        <v>671</v>
      </c>
      <c r="C38" s="54" t="s">
        <v>697</v>
      </c>
    </row>
    <row r="39" spans="2:3" ht="7.5" customHeight="1" x14ac:dyDescent="0.35"/>
    <row r="40" spans="2:3" ht="21.75" customHeight="1" x14ac:dyDescent="0.35">
      <c r="B40" s="95" t="s">
        <v>698</v>
      </c>
      <c r="C40" s="95"/>
    </row>
    <row r="41" spans="2:3" ht="31.5" customHeight="1" x14ac:dyDescent="0.35">
      <c r="B41" s="50" t="s">
        <v>665</v>
      </c>
      <c r="C41" s="51" t="s">
        <v>699</v>
      </c>
    </row>
    <row r="42" spans="2:3" ht="31.5" customHeight="1" x14ac:dyDescent="0.35">
      <c r="B42" s="50" t="s">
        <v>667</v>
      </c>
      <c r="C42" s="52" t="s">
        <v>700</v>
      </c>
    </row>
    <row r="43" spans="2:3" ht="70.5" customHeight="1" x14ac:dyDescent="0.35">
      <c r="B43" s="50" t="s">
        <v>669</v>
      </c>
      <c r="C43" s="53" t="s">
        <v>701</v>
      </c>
    </row>
    <row r="44" spans="2:3" ht="31.5" customHeight="1" x14ac:dyDescent="0.35">
      <c r="B44" s="50" t="s">
        <v>671</v>
      </c>
      <c r="C44" s="54" t="s">
        <v>702</v>
      </c>
    </row>
    <row r="45" spans="2:3" ht="7.5" customHeight="1" x14ac:dyDescent="0.35"/>
    <row r="46" spans="2:3" ht="21.75" customHeight="1" x14ac:dyDescent="0.35">
      <c r="B46" s="96" t="s">
        <v>703</v>
      </c>
      <c r="C46" s="96"/>
    </row>
    <row r="47" spans="2:3" ht="31.5" customHeight="1" x14ac:dyDescent="0.35">
      <c r="B47" s="50" t="s">
        <v>665</v>
      </c>
      <c r="C47" s="51" t="s">
        <v>704</v>
      </c>
    </row>
    <row r="48" spans="2:3" ht="19.5" customHeight="1" x14ac:dyDescent="0.35">
      <c r="B48" s="50" t="s">
        <v>667</v>
      </c>
      <c r="C48" s="52" t="s">
        <v>705</v>
      </c>
    </row>
    <row r="49" spans="2:3" ht="70.5" customHeight="1" x14ac:dyDescent="0.35">
      <c r="B49" s="50" t="s">
        <v>669</v>
      </c>
      <c r="C49" s="53" t="s">
        <v>706</v>
      </c>
    </row>
    <row r="50" spans="2:3" ht="31.5" customHeight="1" x14ac:dyDescent="0.35">
      <c r="B50" s="50" t="s">
        <v>671</v>
      </c>
      <c r="C50" s="54" t="s">
        <v>707</v>
      </c>
    </row>
    <row r="51" spans="2:3" ht="7.5" customHeight="1" x14ac:dyDescent="0.35"/>
    <row r="52" spans="2:3" ht="18" customHeight="1" x14ac:dyDescent="0.35">
      <c r="B52" s="91" t="s">
        <v>708</v>
      </c>
      <c r="C52" s="91"/>
    </row>
  </sheetData>
  <mergeCells count="11">
    <mergeCell ref="B1:C1"/>
    <mergeCell ref="B2:C2"/>
    <mergeCell ref="B4:C4"/>
    <mergeCell ref="B10:C10"/>
    <mergeCell ref="B16:C16"/>
    <mergeCell ref="B52:C52"/>
    <mergeCell ref="B22:C22"/>
    <mergeCell ref="B28:C28"/>
    <mergeCell ref="B34:C34"/>
    <mergeCell ref="B40:C40"/>
    <mergeCell ref="B46:C4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77"/>
  <sheetViews>
    <sheetView zoomScaleNormal="100" workbookViewId="0">
      <pane ySplit="1" topLeftCell="A2" activePane="bottomLeft" state="frozen"/>
      <selection pane="bottomLeft"/>
    </sheetView>
  </sheetViews>
  <sheetFormatPr defaultColWidth="8.6328125" defaultRowHeight="14.5" x14ac:dyDescent="0.35"/>
  <cols>
    <col min="1" max="1" width="16" customWidth="1"/>
    <col min="2" max="2" width="12" customWidth="1"/>
    <col min="3" max="3" width="34" customWidth="1"/>
    <col min="4" max="4" width="10" customWidth="1"/>
    <col min="5" max="5" width="8" customWidth="1"/>
    <col min="6" max="6" width="9" customWidth="1"/>
    <col min="7" max="7" width="8" customWidth="1"/>
    <col min="8" max="8" width="32" customWidth="1"/>
  </cols>
  <sheetData>
    <row r="1" spans="1:8" x14ac:dyDescent="0.35">
      <c r="A1" s="55" t="s">
        <v>3</v>
      </c>
      <c r="B1" s="55" t="s">
        <v>526</v>
      </c>
      <c r="C1" s="55" t="s">
        <v>528</v>
      </c>
      <c r="D1" s="55" t="s">
        <v>709</v>
      </c>
      <c r="E1" s="55" t="s">
        <v>710</v>
      </c>
      <c r="F1" s="55" t="s">
        <v>711</v>
      </c>
      <c r="G1" s="55" t="s">
        <v>712</v>
      </c>
      <c r="H1" s="55" t="s">
        <v>531</v>
      </c>
    </row>
    <row r="2" spans="1:8" x14ac:dyDescent="0.35">
      <c r="A2" s="56" t="s">
        <v>22</v>
      </c>
      <c r="B2" s="57" t="s">
        <v>226</v>
      </c>
      <c r="C2" s="56" t="s">
        <v>227</v>
      </c>
      <c r="D2" s="57" t="s">
        <v>186</v>
      </c>
      <c r="E2" s="57">
        <v>496</v>
      </c>
      <c r="F2" s="57">
        <v>496</v>
      </c>
      <c r="G2" s="57">
        <v>560</v>
      </c>
      <c r="H2" s="56" t="s">
        <v>534</v>
      </c>
    </row>
    <row r="3" spans="1:8" x14ac:dyDescent="0.35">
      <c r="A3" s="58" t="s">
        <v>22</v>
      </c>
      <c r="B3" s="59" t="s">
        <v>221</v>
      </c>
      <c r="C3" s="58" t="s">
        <v>222</v>
      </c>
      <c r="D3" s="59" t="s">
        <v>186</v>
      </c>
      <c r="E3" s="59">
        <v>496</v>
      </c>
      <c r="F3" s="59">
        <v>600</v>
      </c>
      <c r="G3" s="59">
        <v>700</v>
      </c>
      <c r="H3" s="58"/>
    </row>
    <row r="4" spans="1:8" x14ac:dyDescent="0.35">
      <c r="A4" s="56" t="s">
        <v>22</v>
      </c>
      <c r="B4" s="57" t="s">
        <v>256</v>
      </c>
      <c r="C4" s="56" t="s">
        <v>257</v>
      </c>
      <c r="D4" s="57" t="s">
        <v>186</v>
      </c>
      <c r="E4" s="57">
        <v>496</v>
      </c>
      <c r="F4" s="57">
        <v>639</v>
      </c>
      <c r="G4" s="57">
        <v>750</v>
      </c>
      <c r="H4" s="56"/>
    </row>
    <row r="5" spans="1:8" x14ac:dyDescent="0.35">
      <c r="A5" s="58" t="s">
        <v>22</v>
      </c>
      <c r="B5" s="59" t="s">
        <v>210</v>
      </c>
      <c r="C5" s="58" t="s">
        <v>211</v>
      </c>
      <c r="D5" s="59" t="s">
        <v>186</v>
      </c>
      <c r="E5" s="59">
        <v>536</v>
      </c>
      <c r="F5" s="59">
        <v>650</v>
      </c>
      <c r="G5" s="59">
        <v>750</v>
      </c>
      <c r="H5" s="58" t="s">
        <v>538</v>
      </c>
    </row>
    <row r="6" spans="1:8" x14ac:dyDescent="0.35">
      <c r="A6" s="56" t="s">
        <v>22</v>
      </c>
      <c r="B6" s="57" t="s">
        <v>539</v>
      </c>
      <c r="C6" s="56" t="s">
        <v>541</v>
      </c>
      <c r="D6" s="57" t="s">
        <v>186</v>
      </c>
      <c r="E6" s="57">
        <v>600</v>
      </c>
      <c r="F6" s="57">
        <v>716</v>
      </c>
      <c r="G6" s="57">
        <v>870</v>
      </c>
      <c r="H6" s="56" t="s">
        <v>542</v>
      </c>
    </row>
    <row r="7" spans="1:8" x14ac:dyDescent="0.35">
      <c r="A7" s="58" t="s">
        <v>22</v>
      </c>
      <c r="B7" s="59" t="s">
        <v>205</v>
      </c>
      <c r="C7" s="58" t="s">
        <v>206</v>
      </c>
      <c r="D7" s="59" t="s">
        <v>186</v>
      </c>
      <c r="E7" s="59">
        <v>797</v>
      </c>
      <c r="F7" s="59">
        <v>1028</v>
      </c>
      <c r="G7" s="59">
        <v>1350</v>
      </c>
      <c r="H7" s="58" t="s">
        <v>544</v>
      </c>
    </row>
    <row r="8" spans="1:8" x14ac:dyDescent="0.35">
      <c r="A8" s="56" t="s">
        <v>22</v>
      </c>
      <c r="B8" s="57" t="s">
        <v>199</v>
      </c>
      <c r="C8" s="56" t="s">
        <v>200</v>
      </c>
      <c r="D8" s="57" t="s">
        <v>186</v>
      </c>
      <c r="E8" s="57">
        <v>736</v>
      </c>
      <c r="F8" s="57">
        <v>948</v>
      </c>
      <c r="G8" s="57">
        <v>1500</v>
      </c>
      <c r="H8" s="56" t="s">
        <v>546</v>
      </c>
    </row>
    <row r="9" spans="1:8" x14ac:dyDescent="0.35">
      <c r="A9" s="58" t="s">
        <v>548</v>
      </c>
      <c r="B9" s="59" t="s">
        <v>73</v>
      </c>
      <c r="C9" s="58" t="s">
        <v>74</v>
      </c>
      <c r="D9" s="59" t="s">
        <v>61</v>
      </c>
      <c r="E9" s="59">
        <v>632</v>
      </c>
      <c r="F9" s="59">
        <v>825</v>
      </c>
      <c r="G9" s="59">
        <v>957</v>
      </c>
      <c r="H9" s="58" t="s">
        <v>538</v>
      </c>
    </row>
    <row r="10" spans="1:8" x14ac:dyDescent="0.35">
      <c r="A10" s="56" t="s">
        <v>548</v>
      </c>
      <c r="B10" s="57" t="s">
        <v>67</v>
      </c>
      <c r="C10" s="56" t="s">
        <v>68</v>
      </c>
      <c r="D10" s="57" t="s">
        <v>61</v>
      </c>
      <c r="E10" s="57">
        <v>546</v>
      </c>
      <c r="F10" s="57">
        <v>923</v>
      </c>
      <c r="G10" s="57">
        <v>1078</v>
      </c>
      <c r="H10" s="56" t="s">
        <v>542</v>
      </c>
    </row>
    <row r="11" spans="1:8" x14ac:dyDescent="0.35">
      <c r="A11" s="58" t="s">
        <v>548</v>
      </c>
      <c r="B11" s="59" t="s">
        <v>59</v>
      </c>
      <c r="C11" s="58" t="s">
        <v>60</v>
      </c>
      <c r="D11" s="59" t="s">
        <v>61</v>
      </c>
      <c r="E11" s="59">
        <v>610</v>
      </c>
      <c r="F11" s="59">
        <v>788</v>
      </c>
      <c r="G11" s="59">
        <v>957</v>
      </c>
      <c r="H11" s="58"/>
    </row>
    <row r="12" spans="1:8" x14ac:dyDescent="0.35">
      <c r="A12" s="56" t="s">
        <v>24</v>
      </c>
      <c r="B12" s="57" t="s">
        <v>284</v>
      </c>
      <c r="C12" s="56" t="s">
        <v>285</v>
      </c>
      <c r="D12" s="57" t="s">
        <v>61</v>
      </c>
      <c r="E12" s="57">
        <v>576</v>
      </c>
      <c r="F12" s="57">
        <v>743</v>
      </c>
      <c r="G12" s="57">
        <v>1041</v>
      </c>
      <c r="H12" s="56"/>
    </row>
    <row r="13" spans="1:8" x14ac:dyDescent="0.35">
      <c r="A13" s="58" t="s">
        <v>24</v>
      </c>
      <c r="B13" s="59" t="s">
        <v>279</v>
      </c>
      <c r="C13" s="58" t="s">
        <v>280</v>
      </c>
      <c r="D13" s="59" t="s">
        <v>61</v>
      </c>
      <c r="E13" s="59">
        <v>576</v>
      </c>
      <c r="F13" s="59">
        <v>660</v>
      </c>
      <c r="G13" s="59">
        <v>781</v>
      </c>
      <c r="H13" s="58" t="s">
        <v>538</v>
      </c>
    </row>
    <row r="14" spans="1:8" x14ac:dyDescent="0.35">
      <c r="A14" s="56" t="s">
        <v>24</v>
      </c>
      <c r="B14" s="57" t="s">
        <v>554</v>
      </c>
      <c r="C14" s="56" t="s">
        <v>556</v>
      </c>
      <c r="D14" s="57" t="s">
        <v>61</v>
      </c>
      <c r="E14" s="57">
        <v>627</v>
      </c>
      <c r="F14" s="57">
        <v>743</v>
      </c>
      <c r="G14" s="57">
        <v>902</v>
      </c>
      <c r="H14" s="56" t="s">
        <v>542</v>
      </c>
    </row>
    <row r="15" spans="1:8" x14ac:dyDescent="0.35">
      <c r="A15" s="58" t="s">
        <v>24</v>
      </c>
      <c r="B15" s="59" t="s">
        <v>294</v>
      </c>
      <c r="C15" s="58" t="s">
        <v>295</v>
      </c>
      <c r="D15" s="59" t="s">
        <v>61</v>
      </c>
      <c r="E15" s="59">
        <v>770</v>
      </c>
      <c r="F15" s="59">
        <v>1086</v>
      </c>
      <c r="G15" s="59">
        <v>1265</v>
      </c>
      <c r="H15" s="58"/>
    </row>
    <row r="16" spans="1:8" x14ac:dyDescent="0.35">
      <c r="A16" s="56" t="s">
        <v>24</v>
      </c>
      <c r="B16" s="57" t="s">
        <v>302</v>
      </c>
      <c r="C16" s="56" t="s">
        <v>303</v>
      </c>
      <c r="D16" s="57" t="s">
        <v>61</v>
      </c>
      <c r="E16" s="57">
        <v>568</v>
      </c>
      <c r="F16" s="57">
        <v>732</v>
      </c>
      <c r="G16" s="57">
        <v>902</v>
      </c>
      <c r="H16" s="56" t="s">
        <v>559</v>
      </c>
    </row>
    <row r="17" spans="1:8" x14ac:dyDescent="0.35">
      <c r="A17" s="58" t="s">
        <v>24</v>
      </c>
      <c r="B17" s="59" t="s">
        <v>271</v>
      </c>
      <c r="C17" s="58" t="s">
        <v>272</v>
      </c>
      <c r="D17" s="59" t="s">
        <v>61</v>
      </c>
      <c r="E17" s="59">
        <v>1460</v>
      </c>
      <c r="F17" s="59">
        <v>1881</v>
      </c>
      <c r="G17" s="59">
        <v>2200</v>
      </c>
      <c r="H17" s="58"/>
    </row>
    <row r="18" spans="1:8" x14ac:dyDescent="0.35">
      <c r="A18" s="56" t="s">
        <v>562</v>
      </c>
      <c r="B18" s="57" t="s">
        <v>92</v>
      </c>
      <c r="C18" s="56" t="s">
        <v>93</v>
      </c>
      <c r="D18" s="57" t="s">
        <v>87</v>
      </c>
      <c r="E18" s="57">
        <v>521</v>
      </c>
      <c r="F18" s="57">
        <v>598</v>
      </c>
      <c r="G18" s="57">
        <v>724</v>
      </c>
      <c r="H18" s="56" t="s">
        <v>538</v>
      </c>
    </row>
    <row r="19" spans="1:8" x14ac:dyDescent="0.35">
      <c r="A19" s="58" t="s">
        <v>562</v>
      </c>
      <c r="B19" s="59" t="s">
        <v>564</v>
      </c>
      <c r="C19" s="58" t="s">
        <v>566</v>
      </c>
      <c r="D19" s="59" t="s">
        <v>87</v>
      </c>
      <c r="E19" s="59">
        <v>567</v>
      </c>
      <c r="F19" s="59">
        <v>672</v>
      </c>
      <c r="G19" s="59">
        <v>819</v>
      </c>
      <c r="H19" s="58" t="s">
        <v>542</v>
      </c>
    </row>
    <row r="20" spans="1:8" x14ac:dyDescent="0.35">
      <c r="A20" s="56" t="s">
        <v>562</v>
      </c>
      <c r="B20" s="57" t="s">
        <v>85</v>
      </c>
      <c r="C20" s="56" t="s">
        <v>86</v>
      </c>
      <c r="D20" s="57" t="s">
        <v>87</v>
      </c>
      <c r="E20" s="57">
        <v>966</v>
      </c>
      <c r="F20" s="57">
        <v>1245</v>
      </c>
      <c r="G20" s="57">
        <v>1418</v>
      </c>
      <c r="H20" s="56"/>
    </row>
    <row r="21" spans="1:8" x14ac:dyDescent="0.35">
      <c r="A21" s="58" t="s">
        <v>16</v>
      </c>
      <c r="B21" s="59" t="s">
        <v>139</v>
      </c>
      <c r="C21" s="58" t="s">
        <v>140</v>
      </c>
      <c r="D21" s="59" t="s">
        <v>87</v>
      </c>
      <c r="E21" s="59">
        <v>604</v>
      </c>
      <c r="F21" s="59">
        <v>751</v>
      </c>
      <c r="G21" s="59">
        <v>872</v>
      </c>
      <c r="H21" s="58"/>
    </row>
    <row r="22" spans="1:8" x14ac:dyDescent="0.35">
      <c r="A22" s="56" t="s">
        <v>16</v>
      </c>
      <c r="B22" s="57" t="s">
        <v>108</v>
      </c>
      <c r="C22" s="56" t="s">
        <v>109</v>
      </c>
      <c r="D22" s="57" t="s">
        <v>87</v>
      </c>
      <c r="E22" s="57">
        <v>604</v>
      </c>
      <c r="F22" s="57">
        <v>735</v>
      </c>
      <c r="G22" s="57">
        <v>861</v>
      </c>
      <c r="H22" s="56" t="s">
        <v>538</v>
      </c>
    </row>
    <row r="23" spans="1:8" x14ac:dyDescent="0.35">
      <c r="A23" s="58" t="s">
        <v>16</v>
      </c>
      <c r="B23" s="59" t="s">
        <v>571</v>
      </c>
      <c r="C23" s="58" t="s">
        <v>573</v>
      </c>
      <c r="D23" s="59" t="s">
        <v>87</v>
      </c>
      <c r="E23" s="59">
        <v>651</v>
      </c>
      <c r="F23" s="59">
        <v>831</v>
      </c>
      <c r="G23" s="59">
        <v>966</v>
      </c>
      <c r="H23" s="58" t="s">
        <v>542</v>
      </c>
    </row>
    <row r="24" spans="1:8" x14ac:dyDescent="0.35">
      <c r="A24" s="56" t="s">
        <v>16</v>
      </c>
      <c r="B24" s="57" t="s">
        <v>112</v>
      </c>
      <c r="C24" s="56" t="s">
        <v>113</v>
      </c>
      <c r="D24" s="57" t="s">
        <v>87</v>
      </c>
      <c r="E24" s="57">
        <v>804</v>
      </c>
      <c r="F24" s="57">
        <v>1036</v>
      </c>
      <c r="G24" s="57">
        <v>1208</v>
      </c>
      <c r="H24" s="56"/>
    </row>
    <row r="25" spans="1:8" x14ac:dyDescent="0.35">
      <c r="A25" s="58" t="s">
        <v>16</v>
      </c>
      <c r="B25" s="59" t="s">
        <v>132</v>
      </c>
      <c r="C25" s="58" t="s">
        <v>133</v>
      </c>
      <c r="D25" s="59" t="s">
        <v>87</v>
      </c>
      <c r="E25" s="59">
        <v>804</v>
      </c>
      <c r="F25" s="59">
        <v>1036</v>
      </c>
      <c r="G25" s="59">
        <v>1260</v>
      </c>
      <c r="H25" s="58"/>
    </row>
    <row r="26" spans="1:8" x14ac:dyDescent="0.35">
      <c r="A26" s="56" t="s">
        <v>16</v>
      </c>
      <c r="B26" s="57" t="s">
        <v>102</v>
      </c>
      <c r="C26" s="56" t="s">
        <v>103</v>
      </c>
      <c r="D26" s="57" t="s">
        <v>87</v>
      </c>
      <c r="E26" s="57">
        <v>1125</v>
      </c>
      <c r="F26" s="57">
        <v>1449</v>
      </c>
      <c r="G26" s="57">
        <v>1680</v>
      </c>
      <c r="H26" s="56"/>
    </row>
    <row r="27" spans="1:8" x14ac:dyDescent="0.35">
      <c r="A27" s="58" t="s">
        <v>578</v>
      </c>
      <c r="B27" s="59" t="s">
        <v>514</v>
      </c>
      <c r="C27" s="58" t="s">
        <v>515</v>
      </c>
      <c r="D27" s="59" t="s">
        <v>87</v>
      </c>
      <c r="E27" s="59">
        <v>604</v>
      </c>
      <c r="F27" s="59">
        <v>778</v>
      </c>
      <c r="G27" s="59">
        <v>914</v>
      </c>
      <c r="H27" s="58"/>
    </row>
    <row r="28" spans="1:8" x14ac:dyDescent="0.35">
      <c r="A28" s="56" t="s">
        <v>578</v>
      </c>
      <c r="B28" s="57" t="s">
        <v>506</v>
      </c>
      <c r="C28" s="56" t="s">
        <v>507</v>
      </c>
      <c r="D28" s="57" t="s">
        <v>87</v>
      </c>
      <c r="E28" s="57">
        <v>523</v>
      </c>
      <c r="F28" s="57">
        <v>1192</v>
      </c>
      <c r="G28" s="57">
        <v>1365</v>
      </c>
      <c r="H28" s="56" t="s">
        <v>581</v>
      </c>
    </row>
    <row r="29" spans="1:8" x14ac:dyDescent="0.35">
      <c r="A29" s="58" t="s">
        <v>578</v>
      </c>
      <c r="B29" s="59" t="s">
        <v>176</v>
      </c>
      <c r="C29" s="58" t="s">
        <v>177</v>
      </c>
      <c r="D29" s="59" t="s">
        <v>87</v>
      </c>
      <c r="E29" s="59">
        <v>583</v>
      </c>
      <c r="F29" s="59">
        <v>752</v>
      </c>
      <c r="G29" s="59">
        <v>945</v>
      </c>
      <c r="H29" s="58" t="s">
        <v>583</v>
      </c>
    </row>
    <row r="30" spans="1:8" x14ac:dyDescent="0.35">
      <c r="A30" s="56" t="s">
        <v>19</v>
      </c>
      <c r="B30" s="57" t="s">
        <v>164</v>
      </c>
      <c r="C30" s="56" t="s">
        <v>165</v>
      </c>
      <c r="D30" s="57" t="s">
        <v>87</v>
      </c>
      <c r="E30" s="57">
        <v>583</v>
      </c>
      <c r="F30" s="57">
        <v>983</v>
      </c>
      <c r="G30" s="57">
        <v>1155</v>
      </c>
      <c r="H30" s="56"/>
    </row>
    <row r="31" spans="1:8" x14ac:dyDescent="0.35">
      <c r="A31" s="58" t="s">
        <v>19</v>
      </c>
      <c r="B31" s="59" t="s">
        <v>159</v>
      </c>
      <c r="C31" s="58" t="s">
        <v>160</v>
      </c>
      <c r="D31" s="59" t="s">
        <v>87</v>
      </c>
      <c r="E31" s="59">
        <v>766</v>
      </c>
      <c r="F31" s="59">
        <v>988</v>
      </c>
      <c r="G31" s="59">
        <v>1155</v>
      </c>
      <c r="H31" s="58"/>
    </row>
    <row r="32" spans="1:8" x14ac:dyDescent="0.35">
      <c r="A32" s="56" t="s">
        <v>19</v>
      </c>
      <c r="B32" s="57" t="s">
        <v>190</v>
      </c>
      <c r="C32" s="56" t="s">
        <v>191</v>
      </c>
      <c r="D32" s="57" t="s">
        <v>87</v>
      </c>
      <c r="E32" s="57">
        <v>746</v>
      </c>
      <c r="F32" s="57">
        <v>989</v>
      </c>
      <c r="G32" s="57">
        <v>1825</v>
      </c>
      <c r="H32" s="56"/>
    </row>
    <row r="33" spans="1:8" x14ac:dyDescent="0.35">
      <c r="A33" s="58" t="s">
        <v>19</v>
      </c>
      <c r="B33" s="59" t="s">
        <v>184</v>
      </c>
      <c r="C33" s="58" t="s">
        <v>185</v>
      </c>
      <c r="D33" s="59" t="s">
        <v>186</v>
      </c>
      <c r="E33" s="59">
        <v>1071</v>
      </c>
      <c r="F33" s="59">
        <v>1380</v>
      </c>
      <c r="G33" s="59">
        <v>1600</v>
      </c>
      <c r="H33" s="58"/>
    </row>
    <row r="34" spans="1:8" x14ac:dyDescent="0.35">
      <c r="A34" s="56" t="s">
        <v>590</v>
      </c>
      <c r="B34" s="57" t="s">
        <v>341</v>
      </c>
      <c r="C34" s="56" t="s">
        <v>342</v>
      </c>
      <c r="D34" s="57" t="s">
        <v>186</v>
      </c>
      <c r="E34" s="57">
        <v>536</v>
      </c>
      <c r="F34" s="57">
        <v>690</v>
      </c>
      <c r="G34" s="57">
        <v>870</v>
      </c>
      <c r="H34" s="56"/>
    </row>
    <row r="35" spans="1:8" x14ac:dyDescent="0.35">
      <c r="A35" s="58" t="s">
        <v>590</v>
      </c>
      <c r="B35" s="59" t="s">
        <v>366</v>
      </c>
      <c r="C35" s="58" t="s">
        <v>367</v>
      </c>
      <c r="D35" s="59" t="s">
        <v>186</v>
      </c>
      <c r="E35" s="59">
        <v>615</v>
      </c>
      <c r="F35" s="59">
        <v>793</v>
      </c>
      <c r="G35" s="59">
        <v>1176</v>
      </c>
      <c r="H35" s="58"/>
    </row>
    <row r="36" spans="1:8" x14ac:dyDescent="0.35">
      <c r="A36" s="56" t="s">
        <v>590</v>
      </c>
      <c r="B36" s="57" t="s">
        <v>332</v>
      </c>
      <c r="C36" s="56" t="s">
        <v>333</v>
      </c>
      <c r="D36" s="57" t="s">
        <v>186</v>
      </c>
      <c r="E36" s="57">
        <v>734</v>
      </c>
      <c r="F36" s="57">
        <v>946</v>
      </c>
      <c r="G36" s="57">
        <v>1250</v>
      </c>
      <c r="H36" s="56"/>
    </row>
    <row r="37" spans="1:8" x14ac:dyDescent="0.35">
      <c r="A37" s="58" t="s">
        <v>590</v>
      </c>
      <c r="B37" s="59" t="s">
        <v>337</v>
      </c>
      <c r="C37" s="58" t="s">
        <v>338</v>
      </c>
      <c r="D37" s="59" t="s">
        <v>186</v>
      </c>
      <c r="E37" s="59">
        <v>1262</v>
      </c>
      <c r="F37" s="59">
        <v>1626</v>
      </c>
      <c r="G37" s="59">
        <v>1900</v>
      </c>
      <c r="H37" s="58"/>
    </row>
    <row r="38" spans="1:8" x14ac:dyDescent="0.35">
      <c r="A38" s="56" t="s">
        <v>590</v>
      </c>
      <c r="B38" s="57" t="s">
        <v>351</v>
      </c>
      <c r="C38" s="56" t="s">
        <v>352</v>
      </c>
      <c r="D38" s="57" t="s">
        <v>186</v>
      </c>
      <c r="E38" s="57">
        <v>805</v>
      </c>
      <c r="F38" s="57">
        <v>1038</v>
      </c>
      <c r="G38" s="57">
        <v>1400</v>
      </c>
      <c r="H38" s="56"/>
    </row>
    <row r="39" spans="1:8" x14ac:dyDescent="0.35">
      <c r="A39" s="58" t="s">
        <v>590</v>
      </c>
      <c r="B39" s="59" t="s">
        <v>356</v>
      </c>
      <c r="C39" s="58" t="s">
        <v>357</v>
      </c>
      <c r="D39" s="59" t="s">
        <v>186</v>
      </c>
      <c r="E39" s="59">
        <v>960</v>
      </c>
      <c r="F39" s="59">
        <v>1237</v>
      </c>
      <c r="G39" s="59">
        <v>1500</v>
      </c>
      <c r="H39" s="58"/>
    </row>
    <row r="40" spans="1:8" x14ac:dyDescent="0.35">
      <c r="A40" s="56" t="s">
        <v>590</v>
      </c>
      <c r="B40" s="57" t="s">
        <v>327</v>
      </c>
      <c r="C40" s="56" t="s">
        <v>328</v>
      </c>
      <c r="D40" s="57" t="s">
        <v>186</v>
      </c>
      <c r="E40" s="57">
        <v>536</v>
      </c>
      <c r="F40" s="57">
        <v>690</v>
      </c>
      <c r="G40" s="57">
        <v>1100</v>
      </c>
      <c r="H40" s="56"/>
    </row>
    <row r="41" spans="1:8" x14ac:dyDescent="0.35">
      <c r="A41" s="58" t="s">
        <v>590</v>
      </c>
      <c r="B41" s="59" t="s">
        <v>600</v>
      </c>
      <c r="C41" s="58" t="s">
        <v>602</v>
      </c>
      <c r="D41" s="59" t="s">
        <v>186</v>
      </c>
      <c r="E41" s="59">
        <v>1182</v>
      </c>
      <c r="F41" s="59">
        <v>1524</v>
      </c>
      <c r="G41" s="59">
        <v>1900</v>
      </c>
      <c r="H41" s="58"/>
    </row>
    <row r="42" spans="1:8" x14ac:dyDescent="0.35">
      <c r="A42" s="56" t="s">
        <v>590</v>
      </c>
      <c r="B42" s="57" t="s">
        <v>362</v>
      </c>
      <c r="C42" s="56" t="s">
        <v>363</v>
      </c>
      <c r="D42" s="57" t="s">
        <v>186</v>
      </c>
      <c r="E42" s="57">
        <v>1327</v>
      </c>
      <c r="F42" s="57">
        <v>1710</v>
      </c>
      <c r="G42" s="57">
        <v>2000</v>
      </c>
      <c r="H42" s="56"/>
    </row>
    <row r="43" spans="1:8" x14ac:dyDescent="0.35">
      <c r="A43" s="58" t="s">
        <v>590</v>
      </c>
      <c r="B43" s="59" t="s">
        <v>371</v>
      </c>
      <c r="C43" s="58" t="s">
        <v>372</v>
      </c>
      <c r="D43" s="59" t="s">
        <v>186</v>
      </c>
      <c r="E43" s="59">
        <v>624</v>
      </c>
      <c r="F43" s="59">
        <v>1200</v>
      </c>
      <c r="G43" s="59">
        <v>2100</v>
      </c>
      <c r="H43" s="58" t="s">
        <v>605</v>
      </c>
    </row>
    <row r="44" spans="1:8" x14ac:dyDescent="0.35">
      <c r="A44" s="56" t="s">
        <v>590</v>
      </c>
      <c r="B44" s="57" t="s">
        <v>323</v>
      </c>
      <c r="C44" s="56" t="s">
        <v>324</v>
      </c>
      <c r="D44" s="57" t="s">
        <v>186</v>
      </c>
      <c r="E44" s="57">
        <v>1643</v>
      </c>
      <c r="F44" s="57">
        <v>2117</v>
      </c>
      <c r="G44" s="57">
        <v>2500</v>
      </c>
      <c r="H44" s="56"/>
    </row>
    <row r="45" spans="1:8" x14ac:dyDescent="0.35">
      <c r="A45" s="58" t="s">
        <v>590</v>
      </c>
      <c r="B45" s="59" t="s">
        <v>345</v>
      </c>
      <c r="C45" s="58" t="s">
        <v>346</v>
      </c>
      <c r="D45" s="59" t="s">
        <v>186</v>
      </c>
      <c r="E45" s="59">
        <v>1444</v>
      </c>
      <c r="F45" s="59">
        <v>1861</v>
      </c>
      <c r="G45" s="59">
        <v>2200</v>
      </c>
      <c r="H45" s="58"/>
    </row>
    <row r="46" spans="1:8" x14ac:dyDescent="0.35">
      <c r="A46" s="56" t="s">
        <v>607</v>
      </c>
      <c r="B46" s="57" t="s">
        <v>608</v>
      </c>
      <c r="C46" s="56" t="s">
        <v>609</v>
      </c>
      <c r="D46" s="57" t="s">
        <v>186</v>
      </c>
      <c r="E46" s="57">
        <v>690</v>
      </c>
      <c r="F46" s="57">
        <v>900</v>
      </c>
      <c r="G46" s="57">
        <v>1100</v>
      </c>
      <c r="H46" s="56"/>
    </row>
    <row r="47" spans="1:8" x14ac:dyDescent="0.35">
      <c r="A47" s="58" t="s">
        <v>607</v>
      </c>
      <c r="B47" s="59" t="s">
        <v>318</v>
      </c>
      <c r="C47" s="58" t="s">
        <v>319</v>
      </c>
      <c r="D47" s="59" t="s">
        <v>186</v>
      </c>
      <c r="E47" s="59">
        <v>1432</v>
      </c>
      <c r="F47" s="59">
        <v>1846</v>
      </c>
      <c r="G47" s="59">
        <v>2200</v>
      </c>
      <c r="H47" s="58"/>
    </row>
    <row r="48" spans="1:8" x14ac:dyDescent="0.35">
      <c r="A48" s="56" t="s">
        <v>607</v>
      </c>
      <c r="B48" s="57" t="s">
        <v>313</v>
      </c>
      <c r="C48" s="56" t="s">
        <v>314</v>
      </c>
      <c r="D48" s="57" t="s">
        <v>186</v>
      </c>
      <c r="E48" s="57">
        <v>2407</v>
      </c>
      <c r="F48" s="57">
        <v>2966</v>
      </c>
      <c r="G48" s="57">
        <v>3500</v>
      </c>
      <c r="H48" s="56"/>
    </row>
    <row r="49" spans="1:8" x14ac:dyDescent="0.35">
      <c r="A49" s="58" t="s">
        <v>29</v>
      </c>
      <c r="B49" s="59" t="s">
        <v>383</v>
      </c>
      <c r="C49" s="58" t="s">
        <v>384</v>
      </c>
      <c r="D49" s="59" t="s">
        <v>186</v>
      </c>
      <c r="E49" s="59">
        <v>615</v>
      </c>
      <c r="F49" s="59">
        <v>793</v>
      </c>
      <c r="G49" s="59">
        <v>1023</v>
      </c>
      <c r="H49" s="58"/>
    </row>
    <row r="50" spans="1:8" x14ac:dyDescent="0.35">
      <c r="A50" s="56" t="s">
        <v>29</v>
      </c>
      <c r="B50" s="57" t="s">
        <v>388</v>
      </c>
      <c r="C50" s="56" t="s">
        <v>389</v>
      </c>
      <c r="D50" s="57" t="s">
        <v>186</v>
      </c>
      <c r="E50" s="57">
        <v>615</v>
      </c>
      <c r="F50" s="57">
        <v>793</v>
      </c>
      <c r="G50" s="57">
        <v>1125</v>
      </c>
      <c r="H50" s="56"/>
    </row>
    <row r="51" spans="1:8" x14ac:dyDescent="0.35">
      <c r="A51" s="58" t="s">
        <v>29</v>
      </c>
      <c r="B51" s="59" t="s">
        <v>392</v>
      </c>
      <c r="C51" s="58" t="s">
        <v>393</v>
      </c>
      <c r="D51" s="59" t="s">
        <v>186</v>
      </c>
      <c r="E51" s="59">
        <v>682</v>
      </c>
      <c r="F51" s="59">
        <v>879</v>
      </c>
      <c r="G51" s="59">
        <v>1100</v>
      </c>
      <c r="H51" s="58"/>
    </row>
    <row r="52" spans="1:8" x14ac:dyDescent="0.35">
      <c r="A52" s="56" t="s">
        <v>29</v>
      </c>
      <c r="B52" s="57" t="s">
        <v>397</v>
      </c>
      <c r="C52" s="56" t="s">
        <v>398</v>
      </c>
      <c r="D52" s="57" t="s">
        <v>186</v>
      </c>
      <c r="E52" s="57">
        <v>1474</v>
      </c>
      <c r="F52" s="57">
        <v>1900</v>
      </c>
      <c r="G52" s="57">
        <v>2200</v>
      </c>
      <c r="H52" s="56" t="s">
        <v>617</v>
      </c>
    </row>
    <row r="53" spans="1:8" x14ac:dyDescent="0.35">
      <c r="A53" s="58" t="s">
        <v>29</v>
      </c>
      <c r="B53" s="59" t="s">
        <v>377</v>
      </c>
      <c r="C53" s="58" t="s">
        <v>378</v>
      </c>
      <c r="D53" s="59" t="s">
        <v>186</v>
      </c>
      <c r="E53" s="59">
        <v>1832</v>
      </c>
      <c r="F53" s="59">
        <v>2326</v>
      </c>
      <c r="G53" s="59">
        <v>2700</v>
      </c>
      <c r="H53" s="58"/>
    </row>
    <row r="54" spans="1:8" x14ac:dyDescent="0.35">
      <c r="A54" s="56" t="s">
        <v>620</v>
      </c>
      <c r="B54" s="57" t="s">
        <v>405</v>
      </c>
      <c r="C54" s="56" t="s">
        <v>406</v>
      </c>
      <c r="D54" s="57" t="s">
        <v>186</v>
      </c>
      <c r="E54" s="57">
        <v>536</v>
      </c>
      <c r="F54" s="57">
        <v>690</v>
      </c>
      <c r="G54" s="57">
        <v>820</v>
      </c>
      <c r="H54" s="56"/>
    </row>
    <row r="55" spans="1:8" x14ac:dyDescent="0.35">
      <c r="A55" s="58" t="s">
        <v>620</v>
      </c>
      <c r="B55" s="59" t="s">
        <v>410</v>
      </c>
      <c r="C55" s="58" t="s">
        <v>411</v>
      </c>
      <c r="D55" s="59" t="s">
        <v>186</v>
      </c>
      <c r="E55" s="59">
        <v>496</v>
      </c>
      <c r="F55" s="59">
        <v>639</v>
      </c>
      <c r="G55" s="59">
        <v>780</v>
      </c>
      <c r="H55" s="58"/>
    </row>
    <row r="56" spans="1:8" x14ac:dyDescent="0.35">
      <c r="A56" s="56" t="s">
        <v>620</v>
      </c>
      <c r="B56" s="57" t="s">
        <v>413</v>
      </c>
      <c r="C56" s="56" t="s">
        <v>414</v>
      </c>
      <c r="D56" s="57" t="s">
        <v>186</v>
      </c>
      <c r="E56" s="57">
        <v>582</v>
      </c>
      <c r="F56" s="57">
        <v>792</v>
      </c>
      <c r="G56" s="57">
        <v>900</v>
      </c>
      <c r="H56" s="56"/>
    </row>
    <row r="57" spans="1:8" x14ac:dyDescent="0.35">
      <c r="A57" s="58" t="s">
        <v>620</v>
      </c>
      <c r="B57" s="59" t="s">
        <v>426</v>
      </c>
      <c r="C57" s="58" t="s">
        <v>427</v>
      </c>
      <c r="D57" s="59" t="s">
        <v>186</v>
      </c>
      <c r="E57" s="59">
        <v>575</v>
      </c>
      <c r="F57" s="59">
        <v>741</v>
      </c>
      <c r="G57" s="59">
        <v>870</v>
      </c>
      <c r="H57" s="58"/>
    </row>
    <row r="58" spans="1:8" x14ac:dyDescent="0.35">
      <c r="A58" s="56" t="s">
        <v>620</v>
      </c>
      <c r="B58" s="57" t="s">
        <v>421</v>
      </c>
      <c r="C58" s="56" t="s">
        <v>422</v>
      </c>
      <c r="D58" s="57" t="s">
        <v>186</v>
      </c>
      <c r="E58" s="57">
        <v>555</v>
      </c>
      <c r="F58" s="57">
        <v>716</v>
      </c>
      <c r="G58" s="57">
        <v>946</v>
      </c>
      <c r="H58" s="56"/>
    </row>
    <row r="59" spans="1:8" x14ac:dyDescent="0.35">
      <c r="A59" s="58" t="s">
        <v>620</v>
      </c>
      <c r="B59" s="59" t="s">
        <v>431</v>
      </c>
      <c r="C59" s="58" t="s">
        <v>432</v>
      </c>
      <c r="D59" s="59" t="s">
        <v>186</v>
      </c>
      <c r="E59" s="59">
        <v>575</v>
      </c>
      <c r="F59" s="59">
        <v>741</v>
      </c>
      <c r="G59" s="59">
        <v>900</v>
      </c>
      <c r="H59" s="58"/>
    </row>
    <row r="60" spans="1:8" x14ac:dyDescent="0.35">
      <c r="A60" s="56" t="s">
        <v>620</v>
      </c>
      <c r="B60" s="57" t="s">
        <v>485</v>
      </c>
      <c r="C60" s="56" t="s">
        <v>486</v>
      </c>
      <c r="D60" s="57" t="s">
        <v>186</v>
      </c>
      <c r="E60" s="57">
        <v>556</v>
      </c>
      <c r="F60" s="57">
        <v>839</v>
      </c>
      <c r="G60" s="57">
        <v>1250</v>
      </c>
      <c r="H60" s="56" t="s">
        <v>629</v>
      </c>
    </row>
    <row r="61" spans="1:8" x14ac:dyDescent="0.35">
      <c r="A61" s="58" t="s">
        <v>620</v>
      </c>
      <c r="B61" s="59" t="s">
        <v>480</v>
      </c>
      <c r="C61" s="58" t="s">
        <v>481</v>
      </c>
      <c r="D61" s="59" t="s">
        <v>186</v>
      </c>
      <c r="E61" s="59">
        <v>952</v>
      </c>
      <c r="F61" s="59">
        <v>1227</v>
      </c>
      <c r="G61" s="59">
        <v>1450</v>
      </c>
      <c r="H61" s="58"/>
    </row>
    <row r="62" spans="1:8" x14ac:dyDescent="0.35">
      <c r="A62" s="56" t="s">
        <v>620</v>
      </c>
      <c r="B62" s="57" t="s">
        <v>631</v>
      </c>
      <c r="C62" s="56" t="s">
        <v>633</v>
      </c>
      <c r="D62" s="57" t="s">
        <v>186</v>
      </c>
      <c r="E62" s="57">
        <v>766</v>
      </c>
      <c r="F62" s="57">
        <v>987</v>
      </c>
      <c r="G62" s="57">
        <v>1200</v>
      </c>
      <c r="H62" s="56"/>
    </row>
    <row r="63" spans="1:8" x14ac:dyDescent="0.35">
      <c r="A63" s="58" t="s">
        <v>620</v>
      </c>
      <c r="B63" s="59" t="s">
        <v>490</v>
      </c>
      <c r="C63" s="58" t="s">
        <v>491</v>
      </c>
      <c r="D63" s="59" t="s">
        <v>186</v>
      </c>
      <c r="E63" s="59">
        <v>768</v>
      </c>
      <c r="F63" s="59">
        <v>989</v>
      </c>
      <c r="G63" s="59">
        <v>1200</v>
      </c>
      <c r="H63" s="58"/>
    </row>
    <row r="64" spans="1:8" x14ac:dyDescent="0.35">
      <c r="A64" s="56" t="s">
        <v>635</v>
      </c>
      <c r="B64" s="57" t="s">
        <v>519</v>
      </c>
      <c r="C64" s="56" t="s">
        <v>520</v>
      </c>
      <c r="D64" s="57" t="s">
        <v>186</v>
      </c>
      <c r="E64" s="57">
        <v>496</v>
      </c>
      <c r="F64" s="57">
        <v>640</v>
      </c>
      <c r="G64" s="57">
        <v>750</v>
      </c>
      <c r="H64" s="56"/>
    </row>
    <row r="65" spans="1:8" x14ac:dyDescent="0.35">
      <c r="A65" s="58" t="s">
        <v>635</v>
      </c>
      <c r="B65" s="59" t="s">
        <v>470</v>
      </c>
      <c r="C65" s="58" t="s">
        <v>471</v>
      </c>
      <c r="D65" s="59" t="s">
        <v>186</v>
      </c>
      <c r="E65" s="59">
        <v>913</v>
      </c>
      <c r="F65" s="59">
        <v>1176</v>
      </c>
      <c r="G65" s="59">
        <v>1400</v>
      </c>
      <c r="H65" s="58"/>
    </row>
    <row r="66" spans="1:8" x14ac:dyDescent="0.35">
      <c r="A66" s="56" t="s">
        <v>635</v>
      </c>
      <c r="B66" s="57" t="s">
        <v>466</v>
      </c>
      <c r="C66" s="56" t="s">
        <v>467</v>
      </c>
      <c r="D66" s="57" t="s">
        <v>186</v>
      </c>
      <c r="E66" s="57">
        <v>1111</v>
      </c>
      <c r="F66" s="57">
        <v>1432</v>
      </c>
      <c r="G66" s="57">
        <v>1700</v>
      </c>
      <c r="H66" s="56" t="s">
        <v>639</v>
      </c>
    </row>
    <row r="67" spans="1:8" x14ac:dyDescent="0.35">
      <c r="A67" s="58" t="s">
        <v>635</v>
      </c>
      <c r="B67" s="59" t="s">
        <v>475</v>
      </c>
      <c r="C67" s="58" t="s">
        <v>476</v>
      </c>
      <c r="D67" s="59" t="s">
        <v>186</v>
      </c>
      <c r="E67" s="59">
        <v>881</v>
      </c>
      <c r="F67" s="59">
        <v>1135</v>
      </c>
      <c r="G67" s="59">
        <v>1600</v>
      </c>
      <c r="H67" s="58"/>
    </row>
    <row r="68" spans="1:8" x14ac:dyDescent="0.35">
      <c r="A68" s="56" t="s">
        <v>642</v>
      </c>
      <c r="B68" s="57" t="s">
        <v>462</v>
      </c>
      <c r="C68" s="56" t="s">
        <v>463</v>
      </c>
      <c r="D68" s="57" t="s">
        <v>186</v>
      </c>
      <c r="E68" s="57">
        <v>873</v>
      </c>
      <c r="F68" s="57">
        <v>1125</v>
      </c>
      <c r="G68" s="57">
        <v>1300</v>
      </c>
      <c r="H68" s="56"/>
    </row>
    <row r="69" spans="1:8" x14ac:dyDescent="0.35">
      <c r="A69" s="58" t="s">
        <v>642</v>
      </c>
      <c r="B69" s="59" t="s">
        <v>458</v>
      </c>
      <c r="C69" s="58" t="s">
        <v>459</v>
      </c>
      <c r="D69" s="59" t="s">
        <v>186</v>
      </c>
      <c r="E69" s="59">
        <v>885</v>
      </c>
      <c r="F69" s="59">
        <v>1140</v>
      </c>
      <c r="G69" s="59">
        <v>1400</v>
      </c>
      <c r="H69" s="58"/>
    </row>
    <row r="70" spans="1:8" x14ac:dyDescent="0.35">
      <c r="A70" s="56" t="s">
        <v>642</v>
      </c>
      <c r="B70" s="57" t="s">
        <v>452</v>
      </c>
      <c r="C70" s="56" t="s">
        <v>453</v>
      </c>
      <c r="D70" s="57" t="s">
        <v>186</v>
      </c>
      <c r="E70" s="57">
        <v>1111</v>
      </c>
      <c r="F70" s="57">
        <v>1432</v>
      </c>
      <c r="G70" s="57">
        <v>1700</v>
      </c>
      <c r="H70" s="56"/>
    </row>
    <row r="71" spans="1:8" x14ac:dyDescent="0.35">
      <c r="A71" s="58" t="s">
        <v>647</v>
      </c>
      <c r="B71" s="59" t="s">
        <v>497</v>
      </c>
      <c r="C71" s="58" t="s">
        <v>498</v>
      </c>
      <c r="D71" s="59" t="s">
        <v>186</v>
      </c>
      <c r="E71" s="59">
        <v>629</v>
      </c>
      <c r="F71" s="59">
        <v>810</v>
      </c>
      <c r="G71" s="59">
        <v>1400</v>
      </c>
      <c r="H71" s="58"/>
    </row>
    <row r="72" spans="1:8" x14ac:dyDescent="0.35">
      <c r="A72" s="56" t="s">
        <v>647</v>
      </c>
      <c r="B72" s="57" t="s">
        <v>502</v>
      </c>
      <c r="C72" s="56" t="s">
        <v>503</v>
      </c>
      <c r="D72" s="57" t="s">
        <v>186</v>
      </c>
      <c r="E72" s="57">
        <v>767</v>
      </c>
      <c r="F72" s="57">
        <v>988</v>
      </c>
      <c r="G72" s="57">
        <v>1200</v>
      </c>
      <c r="H72" s="56"/>
    </row>
    <row r="73" spans="1:8" x14ac:dyDescent="0.35">
      <c r="A73" s="58" t="s">
        <v>651</v>
      </c>
      <c r="B73" s="59" t="s">
        <v>447</v>
      </c>
      <c r="C73" s="58" t="s">
        <v>448</v>
      </c>
      <c r="D73" s="59" t="s">
        <v>186</v>
      </c>
      <c r="E73" s="59">
        <v>766</v>
      </c>
      <c r="F73" s="59">
        <v>987</v>
      </c>
      <c r="G73" s="59">
        <v>1200</v>
      </c>
      <c r="H73" s="58"/>
    </row>
    <row r="74" spans="1:8" x14ac:dyDescent="0.35">
      <c r="A74" s="56" t="s">
        <v>651</v>
      </c>
      <c r="B74" s="57" t="s">
        <v>443</v>
      </c>
      <c r="C74" s="56" t="s">
        <v>444</v>
      </c>
      <c r="D74" s="57" t="s">
        <v>186</v>
      </c>
      <c r="E74" s="57">
        <v>1627</v>
      </c>
      <c r="F74" s="57">
        <v>2096</v>
      </c>
      <c r="G74" s="57">
        <v>2500</v>
      </c>
      <c r="H74" s="56"/>
    </row>
    <row r="75" spans="1:8" x14ac:dyDescent="0.35">
      <c r="A75" s="58" t="s">
        <v>651</v>
      </c>
      <c r="B75" s="59" t="s">
        <v>438</v>
      </c>
      <c r="C75" s="58" t="s">
        <v>439</v>
      </c>
      <c r="D75" s="59" t="s">
        <v>186</v>
      </c>
      <c r="E75" s="59">
        <v>1740</v>
      </c>
      <c r="F75" s="59">
        <v>2224</v>
      </c>
      <c r="G75" s="59">
        <v>2800</v>
      </c>
      <c r="H75" s="58"/>
    </row>
    <row r="76" spans="1:8" x14ac:dyDescent="0.35">
      <c r="A76" s="56" t="s">
        <v>651</v>
      </c>
      <c r="B76" s="57" t="s">
        <v>655</v>
      </c>
      <c r="C76" s="56" t="s">
        <v>657</v>
      </c>
      <c r="D76" s="57" t="s">
        <v>186</v>
      </c>
      <c r="E76" s="57">
        <v>1400</v>
      </c>
      <c r="F76" s="57">
        <v>1800</v>
      </c>
      <c r="G76" s="57">
        <v>2200</v>
      </c>
      <c r="H76" s="56"/>
    </row>
    <row r="77" spans="1:8" x14ac:dyDescent="0.35">
      <c r="A77" s="58" t="s">
        <v>651</v>
      </c>
      <c r="B77" s="59" t="s">
        <v>658</v>
      </c>
      <c r="C77" s="58" t="s">
        <v>660</v>
      </c>
      <c r="D77" s="59" t="s">
        <v>186</v>
      </c>
      <c r="E77" s="59">
        <v>2200</v>
      </c>
      <c r="F77" s="59">
        <v>2600</v>
      </c>
      <c r="G77" s="59">
        <v>3200</v>
      </c>
      <c r="H77" s="58"/>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I28"/>
  <sheetViews>
    <sheetView showGridLines="0" topLeftCell="A6" zoomScaleNormal="100" workbookViewId="0">
      <selection activeCell="C19" sqref="C19"/>
    </sheetView>
  </sheetViews>
  <sheetFormatPr defaultColWidth="8.6328125" defaultRowHeight="14.5" x14ac:dyDescent="0.35"/>
  <cols>
    <col min="1" max="1" width="2" customWidth="1"/>
    <col min="2" max="2" width="22" customWidth="1"/>
    <col min="3" max="3" width="18" customWidth="1"/>
    <col min="4" max="4" width="15.36328125" customWidth="1"/>
    <col min="5" max="5" width="9" customWidth="1"/>
    <col min="6" max="7" width="14" customWidth="1"/>
    <col min="8" max="8" width="12" customWidth="1"/>
    <col min="9" max="9" width="14" customWidth="1"/>
    <col min="10" max="10" width="2" customWidth="1"/>
  </cols>
  <sheetData>
    <row r="1" spans="2:9" ht="33.75" customHeight="1" x14ac:dyDescent="0.35">
      <c r="B1" s="114" t="s">
        <v>713</v>
      </c>
      <c r="C1" s="114"/>
      <c r="D1" s="114"/>
      <c r="E1" s="114"/>
      <c r="F1" s="114"/>
      <c r="G1" s="114"/>
      <c r="H1" s="114"/>
      <c r="I1" s="114"/>
    </row>
    <row r="2" spans="2:9" ht="21.75" customHeight="1" x14ac:dyDescent="0.35">
      <c r="B2" s="115" t="s">
        <v>714</v>
      </c>
      <c r="C2" s="115"/>
      <c r="D2" s="115"/>
      <c r="E2" s="115"/>
      <c r="F2" s="115"/>
      <c r="G2" s="115"/>
      <c r="H2" s="115"/>
      <c r="I2" s="115"/>
    </row>
    <row r="3" spans="2:9" ht="6" customHeight="1" x14ac:dyDescent="0.35"/>
    <row r="4" spans="2:9" ht="19.5" customHeight="1" x14ac:dyDescent="0.35">
      <c r="B4" s="116" t="s">
        <v>715</v>
      </c>
      <c r="C4" s="116"/>
      <c r="D4" s="116"/>
      <c r="E4" s="116"/>
      <c r="F4" s="116"/>
      <c r="G4" s="116"/>
      <c r="H4" s="116"/>
      <c r="I4" s="116"/>
    </row>
    <row r="5" spans="2:9" ht="19.5" customHeight="1" x14ac:dyDescent="0.35">
      <c r="B5" s="60" t="s">
        <v>716</v>
      </c>
      <c r="C5" s="107"/>
      <c r="D5" s="107"/>
      <c r="E5" s="107"/>
      <c r="F5" s="60" t="s">
        <v>717</v>
      </c>
      <c r="G5" s="107"/>
      <c r="H5" s="107"/>
      <c r="I5" s="107"/>
    </row>
    <row r="6" spans="2:9" ht="19.5" customHeight="1" x14ac:dyDescent="0.35">
      <c r="B6" s="60" t="s">
        <v>718</v>
      </c>
      <c r="C6" s="107"/>
      <c r="D6" s="107"/>
      <c r="E6" s="107"/>
      <c r="F6" s="60" t="s">
        <v>719</v>
      </c>
      <c r="G6" s="107"/>
      <c r="H6" s="107"/>
      <c r="I6" s="107"/>
    </row>
    <row r="7" spans="2:9" ht="19.5" customHeight="1" x14ac:dyDescent="0.35">
      <c r="B7" s="60" t="s">
        <v>720</v>
      </c>
      <c r="C7" s="107"/>
      <c r="D7" s="107"/>
      <c r="E7" s="107"/>
      <c r="F7" s="107"/>
      <c r="G7" s="107"/>
      <c r="H7" s="107"/>
      <c r="I7" s="107"/>
    </row>
    <row r="8" spans="2:9" ht="6" customHeight="1" x14ac:dyDescent="0.35"/>
    <row r="9" spans="2:9" ht="19.5" customHeight="1" x14ac:dyDescent="0.35">
      <c r="B9" s="112" t="s">
        <v>721</v>
      </c>
      <c r="C9" s="112"/>
      <c r="D9" s="112"/>
      <c r="E9" s="112"/>
      <c r="F9" s="112"/>
      <c r="G9" s="112"/>
      <c r="H9" s="112"/>
      <c r="I9" s="112"/>
    </row>
    <row r="10" spans="2:9" ht="19.5" customHeight="1" x14ac:dyDescent="0.35">
      <c r="B10" s="60" t="s">
        <v>3</v>
      </c>
      <c r="C10" s="113" t="s">
        <v>22</v>
      </c>
      <c r="D10" s="113"/>
      <c r="E10" s="113"/>
    </row>
    <row r="11" spans="2:9" ht="19.5" customHeight="1" x14ac:dyDescent="0.35">
      <c r="B11" s="60" t="s">
        <v>722</v>
      </c>
      <c r="C11" s="108" t="s">
        <v>205</v>
      </c>
      <c r="D11" s="108"/>
      <c r="E11" s="108"/>
    </row>
    <row r="12" spans="2:9" ht="18" customHeight="1" x14ac:dyDescent="0.35">
      <c r="B12" s="60" t="s">
        <v>723</v>
      </c>
      <c r="C12" s="109" t="str">
        <f>IFERROR(VLOOKUP(C11,'HR Lookup'!B:C,2,0),"– select band code –")</f>
        <v>Setter – Assembly</v>
      </c>
      <c r="D12" s="109"/>
      <c r="E12" s="109"/>
      <c r="F12" s="109"/>
      <c r="G12" s="109"/>
      <c r="H12" s="109"/>
      <c r="I12" s="109"/>
    </row>
    <row r="13" spans="2:9" ht="18" customHeight="1" x14ac:dyDescent="0.35">
      <c r="B13" s="60" t="s">
        <v>724</v>
      </c>
      <c r="C13" s="109" t="str">
        <f>IFERROR(VLOOKUP(C11,'HR Lookup'!B:E,3,0),"")</f>
        <v>C</v>
      </c>
      <c r="D13" s="109"/>
      <c r="E13" s="109"/>
      <c r="F13" s="109"/>
      <c r="G13" s="109"/>
      <c r="H13" s="109"/>
      <c r="I13" s="109"/>
    </row>
    <row r="14" spans="2:9" ht="6" customHeight="1" x14ac:dyDescent="0.35"/>
    <row r="15" spans="2:9" ht="19.5" customHeight="1" x14ac:dyDescent="0.35">
      <c r="B15" s="110" t="s">
        <v>725</v>
      </c>
      <c r="C15" s="110"/>
      <c r="D15" s="110"/>
      <c r="E15" s="110"/>
      <c r="F15" s="110"/>
      <c r="G15" s="110"/>
      <c r="H15" s="110"/>
      <c r="I15" s="110"/>
    </row>
    <row r="16" spans="2:9" ht="21.75" customHeight="1" x14ac:dyDescent="0.35">
      <c r="B16" s="60" t="s">
        <v>726</v>
      </c>
      <c r="C16" s="61">
        <f>IFERROR(VLOOKUP(C11,'HR Lookup'!B:G,4,0),"")</f>
        <v>797</v>
      </c>
      <c r="D16" s="62" t="s">
        <v>727</v>
      </c>
      <c r="E16" s="63">
        <f>IFERROR(VLOOKUP(C11,'HR Lookup'!B:G,5,0),"")</f>
        <v>1028</v>
      </c>
      <c r="F16" s="64" t="s">
        <v>728</v>
      </c>
      <c r="G16" s="65">
        <f>IFERROR(VLOOKUP(C11,'HR Lookup'!B:G,6,0),"")</f>
        <v>1350</v>
      </c>
      <c r="H16" s="66" t="s">
        <v>729</v>
      </c>
      <c r="I16" s="67"/>
    </row>
    <row r="17" spans="2:9" ht="6" customHeight="1" x14ac:dyDescent="0.35"/>
    <row r="18" spans="2:9" ht="25.5" customHeight="1" x14ac:dyDescent="0.35">
      <c r="B18" s="60" t="s">
        <v>730</v>
      </c>
      <c r="C18" s="68">
        <v>1500</v>
      </c>
      <c r="D18" s="111" t="str">
        <f>IFERROR(IF(C18="","–",IF(C18&lt;C16,"⚠ BELOW MIN",IF(C18&lt;=E16,"▲ Below Target",IF(C18&lt;=G16,"✓ On/Above Target","★ Above Max")))),"–")</f>
        <v>★ Above Max</v>
      </c>
      <c r="E18" s="111"/>
      <c r="F18" s="111"/>
      <c r="G18" s="111"/>
      <c r="H18" s="111"/>
      <c r="I18" s="111"/>
    </row>
    <row r="19" spans="2:9" ht="19.5" customHeight="1" x14ac:dyDescent="0.35">
      <c r="B19" s="60" t="s">
        <v>731</v>
      </c>
      <c r="C19" s="69" t="str">
        <f>IFERROR(IF(AND(C18&gt;0,E16&gt;0),TEXT(C18/E16,"0%")&amp;"  of target","–"),"–")</f>
        <v>146%  of target</v>
      </c>
      <c r="D19" s="60" t="s">
        <v>732</v>
      </c>
      <c r="E19" s="103">
        <f>IFERROR(IF(AND(C18&gt;0,E16&gt;0),C18-E16,"–"),"–")</f>
        <v>472</v>
      </c>
      <c r="F19" s="103"/>
      <c r="G19" s="103"/>
      <c r="H19" s="103"/>
      <c r="I19" s="103"/>
    </row>
    <row r="20" spans="2:9" ht="6" customHeight="1" x14ac:dyDescent="0.35"/>
    <row r="21" spans="2:9" ht="19.5" customHeight="1" x14ac:dyDescent="0.35">
      <c r="B21" s="104" t="s">
        <v>733</v>
      </c>
      <c r="C21" s="104"/>
      <c r="D21" s="104"/>
      <c r="E21" s="104"/>
      <c r="F21" s="104"/>
      <c r="G21" s="104"/>
      <c r="H21" s="104"/>
      <c r="I21" s="104"/>
    </row>
    <row r="22" spans="2:9" ht="27.65" customHeight="1" x14ac:dyDescent="0.35">
      <c r="B22" s="70" t="s">
        <v>734</v>
      </c>
      <c r="C22" s="105"/>
      <c r="D22" s="105"/>
      <c r="E22" s="105"/>
      <c r="F22" s="105"/>
      <c r="G22" s="105"/>
      <c r="H22" s="105"/>
      <c r="I22" s="105"/>
    </row>
    <row r="23" spans="2:9" ht="19.5" customHeight="1" x14ac:dyDescent="0.35">
      <c r="C23" s="105"/>
      <c r="D23" s="105"/>
      <c r="E23" s="105"/>
      <c r="F23" s="105"/>
      <c r="G23" s="105"/>
      <c r="H23" s="105"/>
      <c r="I23" s="105"/>
    </row>
    <row r="24" spans="2:9" ht="19.5" customHeight="1" x14ac:dyDescent="0.35">
      <c r="C24" s="105"/>
      <c r="D24" s="105"/>
      <c r="E24" s="105"/>
      <c r="F24" s="105"/>
      <c r="G24" s="105"/>
      <c r="H24" s="105"/>
      <c r="I24" s="105"/>
    </row>
    <row r="25" spans="2:9" ht="19.5" customHeight="1" x14ac:dyDescent="0.35">
      <c r="B25" s="60" t="s">
        <v>735</v>
      </c>
      <c r="C25" s="106" t="s">
        <v>736</v>
      </c>
      <c r="D25" s="106"/>
      <c r="E25" s="106"/>
      <c r="F25" s="106"/>
      <c r="G25" s="106"/>
      <c r="H25" s="106"/>
      <c r="I25" s="106"/>
    </row>
    <row r="26" spans="2:9" ht="21.75" customHeight="1" x14ac:dyDescent="0.35">
      <c r="B26" s="60" t="s">
        <v>737</v>
      </c>
      <c r="C26" s="107"/>
      <c r="D26" s="107"/>
      <c r="E26" s="107"/>
      <c r="F26" s="107"/>
      <c r="G26" s="60" t="s">
        <v>717</v>
      </c>
      <c r="H26" s="107"/>
      <c r="I26" s="107"/>
    </row>
    <row r="27" spans="2:9" ht="6" customHeight="1" x14ac:dyDescent="0.35"/>
    <row r="28" spans="2:9" ht="18" customHeight="1" x14ac:dyDescent="0.35">
      <c r="B28" s="102" t="s">
        <v>738</v>
      </c>
      <c r="C28" s="102"/>
      <c r="D28" s="102"/>
      <c r="E28" s="102"/>
      <c r="F28" s="102"/>
      <c r="G28" s="102"/>
      <c r="H28" s="102"/>
      <c r="I28" s="102"/>
    </row>
  </sheetData>
  <mergeCells count="22">
    <mergeCell ref="B1:I1"/>
    <mergeCell ref="B2:I2"/>
    <mergeCell ref="B4:I4"/>
    <mergeCell ref="C5:E5"/>
    <mergeCell ref="G5:I5"/>
    <mergeCell ref="C6:E6"/>
    <mergeCell ref="G6:I6"/>
    <mergeCell ref="C7:I7"/>
    <mergeCell ref="B9:I9"/>
    <mergeCell ref="C10:E10"/>
    <mergeCell ref="C11:E11"/>
    <mergeCell ref="C12:I12"/>
    <mergeCell ref="C13:I13"/>
    <mergeCell ref="B15:I15"/>
    <mergeCell ref="D18:I18"/>
    <mergeCell ref="B28:I28"/>
    <mergeCell ref="E19:I19"/>
    <mergeCell ref="B21:I21"/>
    <mergeCell ref="C22:I24"/>
    <mergeCell ref="C25:I25"/>
    <mergeCell ref="C26:F26"/>
    <mergeCell ref="H26:I26"/>
  </mergeCells>
  <dataValidations count="1">
    <dataValidation type="list" allowBlank="1" showErrorMessage="1" errorTitle="Invalid" error="Select from dropdown." sqref="C10" xr:uid="{00000000-0002-0000-0800-000000000000}">
      <formula1>"Assembly,Welding,Pressing,Injection,Machining,Maintenance,Toolroom,Automation,PM &amp; Sales,Quality,Logistics,HR &amp; Admin,Finance &amp; IT,IT,Management"</formula1>
      <formula2>0</formula2>
    </dataValidation>
  </dataValidation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1">
        <x14:dataValidation type="list" allowBlank="1" showErrorMessage="1" errorTitle="Invalid" error="Select a valid band code." xr:uid="{00000000-0002-0000-0800-000001000000}">
          <x14:formula1>
            <xm:f>'HR Lookup'!$B$2:$B$77</xm:f>
          </x14:formula1>
          <x14:formula2>
            <xm:f>0</xm:f>
          </x14:formula2>
          <xm:sqref>C11</xm:sqref>
        </x14:dataValidation>
      </x14:dataValidations>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Overview</vt:lpstr>
      <vt:lpstr>Production</vt:lpstr>
      <vt:lpstr>Engineering</vt:lpstr>
      <vt:lpstr>Quality</vt:lpstr>
      <vt:lpstr>Admin</vt:lpstr>
      <vt:lpstr>Wage Band Overview</vt:lpstr>
      <vt:lpstr>Qualification Matrix</vt:lpstr>
      <vt:lpstr>HR Lookup</vt:lpstr>
      <vt:lpstr>HR Candidate Assessment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Josef Schaetti</cp:lastModifiedBy>
  <cp:revision>0</cp:revision>
  <dcterms:created xsi:type="dcterms:W3CDTF">2026-03-10T09:57:21Z</dcterms:created>
  <dcterms:modified xsi:type="dcterms:W3CDTF">2026-04-22T12:16:44Z</dcterms:modified>
  <dc:language>en-US</dc:language>
</cp:coreProperties>
</file>